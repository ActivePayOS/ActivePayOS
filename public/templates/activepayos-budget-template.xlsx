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85" yWindow="150" windowWidth="28485" windowHeight="20730"/>
  </bookViews>
  <sheets>
    <sheet sheetId="1" name="Start Here" state="visible" r:id="rId4"/>
    <sheet sheetId="2" name="Budget" state="visible" r:id="rId5"/>
    <sheet sheetId="3" name="Bills &amp; Due Dates" state="visible" r:id="rId6"/>
    <sheet sheetId="4" name="Goals" state="visible" r:id="rId7"/>
  </sheets>
  <calcPr calcId="171027"/>
</workbook>
</file>

<file path=xl/sharedStrings.xml><?xml version="1.0" encoding="utf-8"?>
<sst xmlns="http://schemas.openxmlformats.org/spreadsheetml/2006/main" count="151" uniqueCount="122">
  <si>
    <t>ActivePayOS Budget Sheet</t>
  </si>
  <si>
    <t>Pre-filled military pay budget. Change blue input cells as needed. Monthly view; always compare against your LES, myPay, and official sources.</t>
  </si>
  <si>
    <t>Inputs</t>
  </si>
  <si>
    <t>Monthly Pay (auto-filled from ActivePayOS export)</t>
  </si>
  <si>
    <t>Hybrid Budget Targets (editable)</t>
  </si>
  <si>
    <t>Year</t>
  </si>
  <si>
    <t>Base Pay (taxable)</t>
  </si>
  <si>
    <t>Housing target = % of BAH</t>
  </si>
  <si>
    <t>Pay Grade (e.g., O-1, E-5)</t>
  </si>
  <si>
    <t>O-1</t>
  </si>
  <si>
    <t>BAH (usually non-taxable)</t>
  </si>
  <si>
    <t>Food target = % of BAS</t>
  </si>
  <si>
    <t>Years of Service bracket</t>
  </si>
  <si>
    <t>&lt; 2</t>
  </si>
  <si>
    <t>BAS (usually non-taxable)</t>
  </si>
  <si>
    <t>Minimum savings rate</t>
  </si>
  <si>
    <t>Duty ZIP (5-digit)</t>
  </si>
  <si>
    <t>02139</t>
  </si>
  <si>
    <t>Other Income (manual)</t>
  </si>
  <si>
    <t>With dependents? (TRUE/FALSE)</t>
  </si>
  <si>
    <t>FALSE</t>
  </si>
  <si>
    <t>Select TRUE for with-dependents BAH.</t>
  </si>
  <si>
    <t>Total Monthly Income</t>
  </si>
  <si>
    <t>Suggested Housing Budget</t>
  </si>
  <si>
    <t>State of legal residence</t>
  </si>
  <si>
    <t>Not selected</t>
  </si>
  <si>
    <t>From the pay calculator. Check your LES and myPay state withholding settings.</t>
  </si>
  <si>
    <t>Suggested Food Budget</t>
  </si>
  <si>
    <t>State income tax rate (optional rough estimate)</t>
  </si>
  <si>
    <t>Optional only. ActivePayOS does not estimate state withholding yet.</t>
  </si>
  <si>
    <t>Estimated State Tax (optional rough)</t>
  </si>
  <si>
    <t>Suggested Minimum Savings</t>
  </si>
  <si>
    <t>TSP contribution % (0-1)</t>
  </si>
  <si>
    <t>Optional: used for suggested TSP planning.</t>
  </si>
  <si>
    <t>Net After Optional State Tax</t>
  </si>
  <si>
    <t>Roth/Traditional note</t>
  </si>
  <si>
    <t>Roth / Traditional (your choice)</t>
  </si>
  <si>
    <t>Notes</t>
  </si>
  <si>
    <t xml:space="preserve">• Base Pay is taxable. BAH/BAS are generally non-taxable for most service members.
• State of legal residence may differ from duty ZIP, duty station, and home of record. Check LES/myPay.
• This workbook is monthly. Blue cells are editable planning inputs.
• Hybrid approach: housing target ties to BAH, food ties to BAS, and savings uses a baseline rate.
• You can override line items in the Budget tab.</t>
  </si>
  <si>
    <t>Monthly Budget</t>
  </si>
  <si>
    <t>Plan vs Actual. Blue cells are your inputs. Totals &amp; Remaining update automatically.</t>
  </si>
  <si>
    <t>Monthly Income (from Start Here)</t>
  </si>
  <si>
    <t>Category</t>
  </si>
  <si>
    <t>Planned</t>
  </si>
  <si>
    <t>Actual</t>
  </si>
  <si>
    <t>Diff</t>
  </si>
  <si>
    <t>Income</t>
  </si>
  <si>
    <t>HOUSING (targeted to BAH)</t>
  </si>
  <si>
    <t>Rent / Mortgage</t>
  </si>
  <si>
    <t>Renter/Home Insurance</t>
  </si>
  <si>
    <t>Utilities (electric/gas/water)</t>
  </si>
  <si>
    <t>Internet</t>
  </si>
  <si>
    <t>HOA / Fees</t>
  </si>
  <si>
    <t>Maintenance / Repairs</t>
  </si>
  <si>
    <t>Section Total</t>
  </si>
  <si>
    <t>FOOD (targeted to BAS)</t>
  </si>
  <si>
    <t>Groceries</t>
  </si>
  <si>
    <t>Dining Out</t>
  </si>
  <si>
    <t>Coffee / Snacks</t>
  </si>
  <si>
    <t>TRANSPORTATION</t>
  </si>
  <si>
    <t>Car payment</t>
  </si>
  <si>
    <t>Gas / Transit</t>
  </si>
  <si>
    <t>Car insurance</t>
  </si>
  <si>
    <t>Parking / Tolls</t>
  </si>
  <si>
    <t>Maintenance</t>
  </si>
  <si>
    <t>HEALTH &amp; INSURANCE</t>
  </si>
  <si>
    <t>Medical / Dental out-of-pocket</t>
  </si>
  <si>
    <t>Gym / Fitness</t>
  </si>
  <si>
    <t>Life insurance</t>
  </si>
  <si>
    <t>DEBT PAYDOWN</t>
  </si>
  <si>
    <t>Credit cards (beyond minimum)</t>
  </si>
  <si>
    <t>Student loans</t>
  </si>
  <si>
    <t>Personal/Auto loan extra</t>
  </si>
  <si>
    <t>SAVINGS &amp; INVESTING (targeted to min savings)</t>
  </si>
  <si>
    <t>TSP (auto from %)</t>
  </si>
  <si>
    <t>Roth IRA / IRA</t>
  </si>
  <si>
    <t>Brokerage</t>
  </si>
  <si>
    <t>Emergency fund</t>
  </si>
  <si>
    <t>Sinking funds (gifts/PCS/travel)</t>
  </si>
  <si>
    <t>WANTS &amp; LIFESTYLE</t>
  </si>
  <si>
    <t>Subscriptions</t>
  </si>
  <si>
    <t>Shopping</t>
  </si>
  <si>
    <t>Entertainment</t>
  </si>
  <si>
    <t>Travel</t>
  </si>
  <si>
    <t>Hobbies</t>
  </si>
  <si>
    <t>KIDS / FAMILY (if applicable)</t>
  </si>
  <si>
    <t>Childcare</t>
  </si>
  <si>
    <t>School / activities</t>
  </si>
  <si>
    <t>Diapers / supplies</t>
  </si>
  <si>
    <t>OTHER</t>
  </si>
  <si>
    <t>Phone</t>
  </si>
  <si>
    <t>Charity</t>
  </si>
  <si>
    <t>Misc</t>
  </si>
  <si>
    <t>TOTAL SPENDING</t>
  </si>
  <si>
    <t>REMAINING (Income - Spending)</t>
  </si>
  <si>
    <t>Bills &amp; Due Dates</t>
  </si>
  <si>
    <t>Track recurring bills so your budget is predictable. Fill in the blue cells.</t>
  </si>
  <si>
    <t>Bill</t>
  </si>
  <si>
    <t>Amount</t>
  </si>
  <si>
    <t>Due Day</t>
  </si>
  <si>
    <t>Autopay?</t>
  </si>
  <si>
    <t>Account</t>
  </si>
  <si>
    <t>Rent/Mortgage</t>
  </si>
  <si>
    <t>TRUE</t>
  </si>
  <si>
    <t>Housing</t>
  </si>
  <si>
    <t>Utilities</t>
  </si>
  <si>
    <t>Other</t>
  </si>
  <si>
    <t>Transportation</t>
  </si>
  <si>
    <t>Wants</t>
  </si>
  <si>
    <t>Total Monthly Bills</t>
  </si>
  <si>
    <t>Goals</t>
  </si>
  <si>
    <t>Turn big goals into a timeline. Fill in blue inputs; timeline updates automatically.</t>
  </si>
  <si>
    <t>Goal</t>
  </si>
  <si>
    <t>Target ($)</t>
  </si>
  <si>
    <t>Current ($)</t>
  </si>
  <si>
    <t>Monthly ($)</t>
  </si>
  <si>
    <t>Months to Goal</t>
  </si>
  <si>
    <t>Starter emergency fund</t>
  </si>
  <si>
    <t>1 month expenses</t>
  </si>
  <si>
    <t>Pay off high-interest debt</t>
  </si>
  <si>
    <t>Down payment / house fund</t>
  </si>
  <si>
    <t>Big purchase (car/PCS)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</si>
</sst>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$#,##0"/>
    <numFmt numFmtId="165" formatCode="0.0%"/>
    <numFmt numFmtId="166" formatCode="$#,##0.00"/>
    <numFmt numFmtId="167" formatCode="&quot;$&quot;#,##0.00"/>
    <numFmt numFmtId="168" formatCode="[$-F800]dddd, mmmm dd, yyyy"/>
  </numFmts>
  <fonts count="12" x14ac:knownFonts="1">
    <font>
      <color theme="1"/>
      <family val="2"/>
      <scheme val="minor"/>
      <sz val="11"/>
      <name val="Calibri"/>
    </font>
    <font>
      <b/>
      <color rgb="FF111827"/>
      <sz val="22"/>
      <name val="Calibri"/>
    </font>
    <font>
      <color rgb="FF374151"/>
      <family val="2"/>
      <sz val="11"/>
      <name val="Calibri"/>
    </font>
    <font>
      <b/>
      <color rgb="FF111827"/>
      <sz val="11"/>
      <name val="Calibri"/>
    </font>
    <font>
      <color rgb="FF1D4ED8"/>
      <sz val="11"/>
      <name val="Calibri"/>
    </font>
    <font>
      <color rgb="FF065F46"/>
      <sz val="11"/>
      <name val="Calibri"/>
    </font>
    <font>
      <color rgb="FF6B7280"/>
      <sz val="9"/>
      <name val="Calibri"/>
    </font>
    <font>
      <b/>
      <sz val="11"/>
      <name val="Calibri"/>
    </font>
    <font>
      <color rgb="FF374151"/>
      <sz val="10"/>
      <name val="Calibri"/>
    </font>
    <font>
      <color rgb="FF374151"/>
      <sz val="11"/>
      <name val="Calibri"/>
    </font>
    <font>
      <b/>
      <color rgb="FFFFFFFF"/>
      <sz val="12"/>
      <name val="Calibri"/>
    </font>
    <font>
      <b/>
      <sz val="1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EF2FF"/>
      </patternFill>
    </fill>
    <fill>
      <patternFill patternType="solid">
        <fgColor rgb="FFD9EAF7"/>
      </patternFill>
    </fill>
    <fill>
      <patternFill patternType="solid">
        <fgColor rgb="FFDCFCE7"/>
      </patternFill>
    </fill>
    <fill>
      <patternFill patternType="solid">
        <fgColor rgb="FFE0F2FE"/>
      </patternFill>
    </fill>
    <fill>
      <patternFill patternType="solid">
        <fgColor rgb="FFECFDF5"/>
      </patternFill>
    </fill>
    <fill>
      <patternFill patternType="solid">
        <fgColor rgb="FFFFFBEB"/>
      </patternFill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0" fontId="4" fillId="3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/>
    <xf numFmtId="165" fontId="4" fillId="5" borderId="1" xfId="0" applyNumberFormat="1" applyFont="1" applyFill="1" applyBorder="1"/>
    <xf numFmtId="164" fontId="4" fillId="5" borderId="1" xfId="0" applyNumberFormat="1" applyFont="1" applyFill="1" applyBorder="1"/>
    <xf numFmtId="0" fontId="6" fillId="0" borderId="0" xfId="0" applyFont="1" applyAlignment="1">
      <alignment horizontal="left" vertical="center"/>
    </xf>
    <xf numFmtId="0" fontId="7" fillId="0" borderId="1" xfId="0" applyFont="1" applyBorder="1"/>
    <xf numFmtId="164" fontId="7" fillId="6" borderId="1" xfId="0" applyNumberFormat="1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166" fontId="0" fillId="7" borderId="1" xfId="0" applyNumberFormat="1" applyFill="1" applyBorder="1"/>
    <xf numFmtId="166" fontId="0" fillId="6" borderId="1" xfId="0" applyNumberFormat="1" applyFill="1" applyBorder="1"/>
    <xf numFmtId="0" fontId="0" fillId="3" borderId="0" xfId="0" applyFill="1"/>
    <xf numFmtId="0" fontId="8" fillId="7" borderId="1" xfId="0" applyFont="1" applyFill="1" applyBorder="1" applyAlignment="1">
      <alignment vertical="top" wrapText="1"/>
    </xf>
    <xf numFmtId="0" fontId="9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6" borderId="1" xfId="0" applyNumberFormat="1" applyFont="1" applyFill="1" applyBorder="1"/>
    <xf numFmtId="164" fontId="11" fillId="7" borderId="1" xfId="0" applyNumberFormat="1" applyFont="1" applyFill="1" applyBorder="1"/>
    <xf numFmtId="167" fontId="4" fillId="5" borderId="1" xfId="0" applyNumberFormat="1" applyFont="1" applyFill="1" applyBorder="1" applyAlignment="1">
      <alignment horizontal="center" vertical="center"/>
    </xf>
    <xf numFmtId="168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 showGridLines="0" zoomScale="100" zoomScaleNormal="100">
      <selection activeCell="G31" sqref="G31"/>
    </sheetView>
  </sheetViews>
  <sheetFormatPr defaultRowHeight="15" outlineLevelRow="0" outlineLevelCol="0" x14ac:dyDescent="0.25"/>
  <cols>
    <col min="1" max="1" width="33.42578125" customWidth="1"/>
    <col min="2" max="2" width="18" customWidth="1"/>
    <col min="3" max="3" width="2" customWidth="1"/>
    <col min="4" max="4" width="26" customWidth="1"/>
    <col min="5" max="5" width="18" customWidth="1"/>
    <col min="6" max="6" width="2" customWidth="1"/>
    <col min="7" max="7" width="26" customWidth="1"/>
    <col min="8" max="8" width="18" customWidth="1"/>
  </cols>
  <sheetData>
    <row r="1" ht="28.5" customHeight="1" spans="1:8" x14ac:dyDescent="0.25">
      <c r="A1" s="1" t="s">
        <v>0</v>
      </c>
      <c r="B1"/>
      <c r="C1"/>
      <c r="D1"/>
      <c r="E1"/>
      <c r="F1"/>
      <c r="G1"/>
      <c r="H1"/>
    </row>
    <row r="2" spans="1:8" x14ac:dyDescent="0.25">
      <c r="A2" s="2" t="s">
        <v>1</v>
      </c>
      <c r="B2"/>
      <c r="C2"/>
      <c r="D2"/>
      <c r="E2"/>
      <c r="F2"/>
      <c r="G2"/>
      <c r="H2"/>
    </row>
    <row r="4" spans="1:8" x14ac:dyDescent="0.25">
      <c r="A4" s="3" t="s">
        <v>2</v>
      </c>
      <c r="B4" s="3"/>
      <c r="D4" s="3" t="s">
        <v>3</v>
      </c>
      <c r="E4" s="3"/>
      <c r="G4" s="3" t="s">
        <v>4</v>
      </c>
      <c r="H4" s="3"/>
    </row>
    <row r="5" spans="1:8" x14ac:dyDescent="0.25">
      <c r="A5" s="4" t="s">
        <v>5</v>
      </c>
      <c r="B5" s="5">
        <v>2026</v>
      </c>
      <c r="D5" s="4" t="s">
        <v>6</v>
      </c>
      <c r="E5" s="6">
        <v>0</v>
      </c>
      <c r="G5" s="4" t="s">
        <v>7</v>
      </c>
      <c r="H5" s="7">
        <v>1</v>
      </c>
    </row>
    <row r="6" spans="1:8" x14ac:dyDescent="0.25">
      <c r="A6" s="4" t="s">
        <v>8</v>
      </c>
      <c r="B6" s="5" t="s">
        <v>9</v>
      </c>
      <c r="D6" s="4" t="s">
        <v>10</v>
      </c>
      <c r="E6" s="6">
        <v>0</v>
      </c>
      <c r="G6" s="4" t="s">
        <v>11</v>
      </c>
      <c r="H6" s="7">
        <v>1</v>
      </c>
    </row>
    <row r="7" spans="1:8" x14ac:dyDescent="0.25">
      <c r="A7" s="4" t="s">
        <v>12</v>
      </c>
      <c r="B7" s="5" t="s">
        <v>13</v>
      </c>
      <c r="D7" s="4" t="s">
        <v>14</v>
      </c>
      <c r="E7" s="6">
        <v>0</v>
      </c>
      <c r="G7" s="4" t="s">
        <v>15</v>
      </c>
      <c r="H7" s="7">
        <v>0.2</v>
      </c>
    </row>
    <row r="8" spans="1:5" x14ac:dyDescent="0.25">
      <c r="A8" s="4" t="s">
        <v>16</v>
      </c>
      <c r="B8" s="5" t="s">
        <v>17</v>
      </c>
      <c r="D8" s="4" t="s">
        <v>18</v>
      </c>
      <c r="E8" s="8">
        <v>0</v>
      </c>
    </row>
    <row r="9" spans="1:8" x14ac:dyDescent="0.25">
      <c r="A9" s="4" t="s">
        <v>19</v>
      </c>
      <c r="B9" s="5" t="s">
        <v>20</v>
      </c>
      <c r="C9" s="9" t="s">
        <v>21</v>
      </c>
      <c r="D9" s="10" t="s">
        <v>22</v>
      </c>
      <c r="E9" s="11">
        <f>SUM(E5:E8)</f>
        <v>0</v>
      </c>
      <c r="G9" s="4" t="s">
        <v>23</v>
      </c>
      <c r="H9" s="11">
        <f>E6*H5</f>
        <v>0</v>
      </c>
    </row>
    <row r="10" ht="45" customHeight="1" spans="1:8" x14ac:dyDescent="0.25">
      <c r="A10" s="12" t="s">
        <v>24</v>
      </c>
      <c r="B10" s="5" t="s">
        <v>25</v>
      </c>
      <c r="C10" s="9" t="s">
        <v>26</v>
      </c>
      <c r="G10" s="4" t="s">
        <v>27</v>
      </c>
      <c r="H10" s="11">
        <f>E7*H6</f>
        <v>0</v>
      </c>
    </row>
    <row r="11" spans="1:8" x14ac:dyDescent="0.25">
      <c r="A11" s="4" t="s">
        <v>28</v>
      </c>
      <c r="B11" s="5">
        <v>0</v>
      </c>
      <c r="C11" s="9" t="s">
        <v>29</v>
      </c>
      <c r="D11" s="13" t="s">
        <v>30</v>
      </c>
      <c r="E11" s="14">
        <f>E5*B11</f>
      </c>
      <c r="G11" s="4" t="s">
        <v>31</v>
      </c>
      <c r="H11" s="11">
        <f>E9*H7</f>
        <v>0</v>
      </c>
    </row>
    <row r="12" spans="1:5" x14ac:dyDescent="0.25">
      <c r="A12" s="4" t="s">
        <v>32</v>
      </c>
      <c r="B12" s="5">
        <v>0.1</v>
      </c>
      <c r="C12" t="s">
        <v>33</v>
      </c>
      <c r="D12" s="13" t="s">
        <v>34</v>
      </c>
      <c r="E12" s="15">
        <f>E9-E11</f>
      </c>
    </row>
    <row r="13" spans="1:2" x14ac:dyDescent="0.25">
      <c r="A13" t="s">
        <v>35</v>
      </c>
      <c r="B13" s="16" t="s">
        <v>36</v>
      </c>
    </row>
    <row r="14" spans="1:8" x14ac:dyDescent="0.25">
      <c r="A14" s="3" t="s">
        <v>37</v>
      </c>
      <c r="B14" s="3"/>
      <c r="C14" s="3"/>
      <c r="D14" s="3"/>
      <c r="E14" s="3"/>
      <c r="F14" s="3"/>
      <c r="G14" s="3"/>
      <c r="H14" s="3"/>
    </row>
    <row r="15" spans="1:8" x14ac:dyDescent="0.25">
      <c r="A15" s="17" t="s">
        <v>38</v>
      </c>
      <c r="B15" s="17"/>
      <c r="C15" s="17"/>
      <c r="D15" s="17"/>
      <c r="E15" s="17"/>
      <c r="F15" s="17"/>
      <c r="G15" s="17"/>
      <c r="H15" s="17"/>
    </row>
    <row r="16" spans="1:8" x14ac:dyDescent="0.25">
      <c r="A16" s="17"/>
      <c r="B16" s="17"/>
      <c r="C16" s="17"/>
      <c r="D16" s="17"/>
      <c r="E16" s="17"/>
      <c r="F16" s="17"/>
      <c r="G16" s="17"/>
      <c r="H16" s="17"/>
    </row>
    <row r="17" spans="1:8" x14ac:dyDescent="0.25">
      <c r="A17" s="17"/>
      <c r="B17" s="17"/>
      <c r="C17" s="17"/>
      <c r="D17" s="17"/>
      <c r="E17" s="17"/>
      <c r="F17" s="17"/>
      <c r="G17" s="17"/>
      <c r="H17" s="17"/>
    </row>
    <row r="18" spans="1:8" x14ac:dyDescent="0.25">
      <c r="A18" s="17"/>
      <c r="B18" s="17"/>
      <c r="C18" s="17"/>
      <c r="D18" s="17"/>
      <c r="E18" s="17"/>
      <c r="F18" s="17"/>
      <c r="G18" s="17"/>
      <c r="H18" s="17"/>
    </row>
  </sheetData>
  <mergeCells count="7">
    <mergeCell ref="A1:H1"/>
    <mergeCell ref="A2:H2"/>
    <mergeCell ref="A4:B4"/>
    <mergeCell ref="D4:E4"/>
    <mergeCell ref="G4:H4"/>
    <mergeCell ref="A14:H14"/>
    <mergeCell ref="A15:H18"/>
  </mergeCells>
  <dataValidations count="2">
    <dataValidation type="decimal" sqref="B10:B11">
      <formula1>0</formula1>
      <formula2>1</formula2>
    </dataValidation>
    <dataValidation type="list" sqref="B9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 showGridLines="0" zoomScale="100" zoomScaleNormal="100">
      <pane ySplit="8" topLeftCell="A9" activePane="bottomLeft" state="frozen"/>
      <selection pane="bottomLeft" activeCell="A45" sqref="A45"/>
    </sheetView>
  </sheetViews>
  <sheetFormatPr defaultRowHeight="15" outlineLevelRow="0" outlineLevelCol="0" x14ac:dyDescent="0.25"/>
  <cols>
    <col min="1" max="1" width="30" customWidth="1"/>
    <col min="2" max="4" width="14" customWidth="1"/>
    <col min="5" max="5" width="2" customWidth="1"/>
    <col min="6" max="6" width="30" customWidth="1"/>
    <col min="7" max="8" width="14" customWidth="1"/>
  </cols>
  <sheetData>
    <row r="1" ht="28.5" customHeight="1" spans="1:8" x14ac:dyDescent="0.25">
      <c r="A1" s="1" t="s">
        <v>39</v>
      </c>
      <c r="B1"/>
      <c r="C1"/>
      <c r="D1"/>
      <c r="E1"/>
      <c r="F1"/>
      <c r="G1"/>
      <c r="H1"/>
    </row>
    <row r="2" spans="1:8" x14ac:dyDescent="0.25">
      <c r="A2" s="18" t="s">
        <v>40</v>
      </c>
      <c r="B2"/>
      <c r="C2"/>
      <c r="D2"/>
      <c r="E2"/>
      <c r="F2"/>
      <c r="G2"/>
      <c r="H2"/>
    </row>
    <row r="4" spans="1:4" x14ac:dyDescent="0.25">
      <c r="A4" s="3" t="s">
        <v>41</v>
      </c>
      <c r="B4" s="3"/>
      <c r="C4" s="3"/>
      <c r="D4" s="3"/>
    </row>
    <row r="5" spans="1:4" x14ac:dyDescent="0.25">
      <c r="A5" s="19" t="s">
        <v>42</v>
      </c>
      <c r="B5" s="20" t="s">
        <v>43</v>
      </c>
      <c r="C5" s="20" t="s">
        <v>44</v>
      </c>
      <c r="D5" s="20" t="s">
        <v>45</v>
      </c>
    </row>
    <row r="6" spans="1:4" x14ac:dyDescent="0.25">
      <c r="A6" s="13" t="s">
        <v>46</v>
      </c>
      <c r="B6" s="15">
        <f>'Start Here'!E9</f>
        <v>0</v>
      </c>
      <c r="C6" s="15">
        <f>'Start Here'!E9</f>
        <v>0</v>
      </c>
      <c r="D6" s="14">
        <f>C6-B6</f>
        <v>0</v>
      </c>
    </row>
    <row r="8" ht="15.75" customHeight="1" spans="1:4" x14ac:dyDescent="0.25">
      <c r="A8" s="21" t="s">
        <v>42</v>
      </c>
      <c r="B8" s="22" t="s">
        <v>43</v>
      </c>
      <c r="C8" s="22" t="s">
        <v>44</v>
      </c>
      <c r="D8" s="22" t="s">
        <v>45</v>
      </c>
    </row>
    <row r="9" spans="1:4" x14ac:dyDescent="0.25">
      <c r="A9" s="3" t="s">
        <v>47</v>
      </c>
      <c r="B9" s="3"/>
      <c r="C9" s="3"/>
      <c r="D9" s="3"/>
    </row>
    <row r="10" spans="1:4" x14ac:dyDescent="0.25">
      <c r="A10" s="4" t="s">
        <v>48</v>
      </c>
      <c r="B10" s="8">
        <f>'Start Here'!H9</f>
        <v>0</v>
      </c>
      <c r="C10" s="8">
        <v>0</v>
      </c>
      <c r="D10" s="23">
        <f t="shared" ref="D10:D16" si="0">C10-B10</f>
        <v>0</v>
      </c>
    </row>
    <row r="11" spans="1:4" x14ac:dyDescent="0.25">
      <c r="A11" s="4" t="s">
        <v>49</v>
      </c>
      <c r="B11" s="8">
        <v>0</v>
      </c>
      <c r="C11" s="8">
        <v>0</v>
      </c>
      <c r="D11" s="23">
        <f t="shared" si="0"/>
        <v>0</v>
      </c>
    </row>
    <row r="12" spans="1:4" x14ac:dyDescent="0.25">
      <c r="A12" s="4" t="s">
        <v>50</v>
      </c>
      <c r="B12" s="8">
        <v>0</v>
      </c>
      <c r="C12" s="8">
        <v>0</v>
      </c>
      <c r="D12" s="23">
        <f t="shared" si="0"/>
        <v>0</v>
      </c>
    </row>
    <row r="13" spans="1:4" x14ac:dyDescent="0.25">
      <c r="A13" s="4" t="s">
        <v>51</v>
      </c>
      <c r="B13" s="8">
        <v>0</v>
      </c>
      <c r="C13" s="8">
        <v>0</v>
      </c>
      <c r="D13" s="23">
        <f t="shared" si="0"/>
        <v>0</v>
      </c>
    </row>
    <row r="14" spans="1:4" x14ac:dyDescent="0.25">
      <c r="A14" s="4" t="s">
        <v>52</v>
      </c>
      <c r="B14" s="8">
        <v>0</v>
      </c>
      <c r="C14" s="8">
        <v>0</v>
      </c>
      <c r="D14" s="23">
        <f t="shared" si="0"/>
        <v>0</v>
      </c>
    </row>
    <row r="15" spans="1:4" x14ac:dyDescent="0.25">
      <c r="A15" s="4" t="s">
        <v>53</v>
      </c>
      <c r="B15" s="8">
        <v>0</v>
      </c>
      <c r="C15" s="8">
        <v>0</v>
      </c>
      <c r="D15" s="23">
        <f t="shared" si="0"/>
        <v>0</v>
      </c>
    </row>
    <row r="16" spans="1:4" x14ac:dyDescent="0.25">
      <c r="A16" s="10" t="s">
        <v>54</v>
      </c>
      <c r="B16" s="11">
        <f>SUM(B10:B15)</f>
        <v>0</v>
      </c>
      <c r="C16" s="11">
        <f>SUM(C10:C15)</f>
        <v>0</v>
      </c>
      <c r="D16" s="11">
        <f>C16-B16</f>
        <v>0</v>
      </c>
    </row>
    <row r="18" spans="1:4" x14ac:dyDescent="0.25">
      <c r="A18" s="3" t="s">
        <v>55</v>
      </c>
      <c r="B18" s="3"/>
      <c r="C18" s="3"/>
      <c r="D18" s="3"/>
    </row>
    <row r="19" spans="1:4" x14ac:dyDescent="0.25">
      <c r="A19" s="4" t="s">
        <v>56</v>
      </c>
      <c r="B19" s="8">
        <f>'Start Here'!H10</f>
        <v>0</v>
      </c>
      <c r="C19" s="8">
        <v>0</v>
      </c>
      <c r="D19" s="23">
        <f>C19-B19</f>
        <v>0</v>
      </c>
    </row>
    <row r="20" spans="1:4" x14ac:dyDescent="0.25">
      <c r="A20" s="4" t="s">
        <v>57</v>
      </c>
      <c r="B20" s="8">
        <v>0</v>
      </c>
      <c r="C20" s="8">
        <v>0</v>
      </c>
      <c r="D20" s="23">
        <f>C20-B20</f>
        <v>0</v>
      </c>
    </row>
    <row r="21" spans="1:4" x14ac:dyDescent="0.25">
      <c r="A21" s="4" t="s">
        <v>58</v>
      </c>
      <c r="B21" s="8">
        <v>0</v>
      </c>
      <c r="C21" s="8">
        <v>0</v>
      </c>
      <c r="D21" s="23">
        <f>C21-B21</f>
        <v>0</v>
      </c>
    </row>
    <row r="22" spans="1:4" x14ac:dyDescent="0.25">
      <c r="A22" s="10" t="s">
        <v>54</v>
      </c>
      <c r="B22" s="11">
        <f>SUM(B19:B21)</f>
        <v>0</v>
      </c>
      <c r="C22" s="11">
        <f>SUM(C19:C21)</f>
        <v>0</v>
      </c>
      <c r="D22" s="11">
        <f>C22-B22</f>
        <v>0</v>
      </c>
    </row>
    <row r="24" spans="1:4" x14ac:dyDescent="0.25">
      <c r="A24" s="3" t="s">
        <v>59</v>
      </c>
      <c r="B24" s="3"/>
      <c r="C24" s="3"/>
      <c r="D24" s="3"/>
    </row>
    <row r="25" spans="1:4" x14ac:dyDescent="0.25">
      <c r="A25" s="4" t="s">
        <v>60</v>
      </c>
      <c r="B25" s="8">
        <v>0</v>
      </c>
      <c r="C25" s="8">
        <v>0</v>
      </c>
      <c r="D25" s="23">
        <f t="shared" ref="D25:D30" si="1">C25-B25</f>
        <v>0</v>
      </c>
    </row>
    <row r="26" spans="1:4" x14ac:dyDescent="0.25">
      <c r="A26" s="4" t="s">
        <v>61</v>
      </c>
      <c r="B26" s="8">
        <v>0</v>
      </c>
      <c r="C26" s="8">
        <v>0</v>
      </c>
      <c r="D26" s="23">
        <f t="shared" si="1"/>
        <v>0</v>
      </c>
    </row>
    <row r="27" spans="1:4" x14ac:dyDescent="0.25">
      <c r="A27" s="4" t="s">
        <v>62</v>
      </c>
      <c r="B27" s="8">
        <v>0</v>
      </c>
      <c r="C27" s="8">
        <v>0</v>
      </c>
      <c r="D27" s="23">
        <f t="shared" si="1"/>
        <v>0</v>
      </c>
    </row>
    <row r="28" spans="1:4" x14ac:dyDescent="0.25">
      <c r="A28" s="4" t="s">
        <v>63</v>
      </c>
      <c r="B28" s="8">
        <v>0</v>
      </c>
      <c r="C28" s="8">
        <v>0</v>
      </c>
      <c r="D28" s="23">
        <f t="shared" si="1"/>
        <v>0</v>
      </c>
    </row>
    <row r="29" spans="1:4" x14ac:dyDescent="0.25">
      <c r="A29" s="4" t="s">
        <v>64</v>
      </c>
      <c r="B29" s="8">
        <v>0</v>
      </c>
      <c r="C29" s="8">
        <v>0</v>
      </c>
      <c r="D29" s="23">
        <f t="shared" si="1"/>
        <v>0</v>
      </c>
    </row>
    <row r="30" spans="1:4" x14ac:dyDescent="0.25">
      <c r="A30" s="10" t="s">
        <v>54</v>
      </c>
      <c r="B30" s="11">
        <f>SUM(B25:B29)</f>
        <v>0</v>
      </c>
      <c r="C30" s="11">
        <f>SUM(C25:C29)</f>
        <v>0</v>
      </c>
      <c r="D30" s="11">
        <f t="shared" si="1"/>
        <v>0</v>
      </c>
    </row>
    <row r="32" spans="1:4" x14ac:dyDescent="0.25">
      <c r="A32" s="3" t="s">
        <v>65</v>
      </c>
      <c r="B32" s="3"/>
      <c r="C32" s="3"/>
      <c r="D32" s="3"/>
    </row>
    <row r="33" spans="1:4" x14ac:dyDescent="0.25">
      <c r="A33" s="4" t="s">
        <v>66</v>
      </c>
      <c r="B33" s="8">
        <v>0</v>
      </c>
      <c r="C33" s="8">
        <v>0</v>
      </c>
      <c r="D33" s="23">
        <f>C33-B33</f>
        <v>0</v>
      </c>
    </row>
    <row r="34" spans="1:4" x14ac:dyDescent="0.25">
      <c r="A34" s="4" t="s">
        <v>67</v>
      </c>
      <c r="B34" s="8">
        <v>0</v>
      </c>
      <c r="C34" s="8">
        <v>0</v>
      </c>
      <c r="D34" s="23">
        <f>C34-B34</f>
        <v>0</v>
      </c>
    </row>
    <row r="35" spans="1:4" x14ac:dyDescent="0.25">
      <c r="A35" s="4" t="s">
        <v>68</v>
      </c>
      <c r="B35" s="8">
        <v>0</v>
      </c>
      <c r="C35" s="8">
        <v>0</v>
      </c>
      <c r="D35" s="23">
        <f>C35-B35</f>
        <v>0</v>
      </c>
    </row>
    <row r="36" spans="1:4" x14ac:dyDescent="0.25">
      <c r="A36" s="10" t="s">
        <v>54</v>
      </c>
      <c r="B36" s="11">
        <f>SUM(B33:B35)</f>
        <v>0</v>
      </c>
      <c r="C36" s="11">
        <f>SUM(C33:C35)</f>
        <v>0</v>
      </c>
      <c r="D36" s="11">
        <f>C36-B36</f>
        <v>0</v>
      </c>
    </row>
    <row r="38" spans="1:4" x14ac:dyDescent="0.25">
      <c r="A38" s="3" t="s">
        <v>69</v>
      </c>
      <c r="B38" s="3"/>
      <c r="C38" s="3"/>
      <c r="D38" s="3"/>
    </row>
    <row r="39" spans="1:4" x14ac:dyDescent="0.25">
      <c r="A39" s="4" t="s">
        <v>70</v>
      </c>
      <c r="B39" s="8">
        <v>0</v>
      </c>
      <c r="C39" s="8">
        <v>0</v>
      </c>
      <c r="D39" s="23">
        <f>C39-B39</f>
        <v>0</v>
      </c>
    </row>
    <row r="40" spans="1:4" x14ac:dyDescent="0.25">
      <c r="A40" s="4" t="s">
        <v>71</v>
      </c>
      <c r="B40" s="8">
        <v>0</v>
      </c>
      <c r="C40" s="8">
        <v>0</v>
      </c>
      <c r="D40" s="23">
        <f>C40-B40</f>
        <v>0</v>
      </c>
    </row>
    <row r="41" spans="1:4" x14ac:dyDescent="0.25">
      <c r="A41" s="4" t="s">
        <v>72</v>
      </c>
      <c r="B41" s="8">
        <v>0</v>
      </c>
      <c r="C41" s="8">
        <v>0</v>
      </c>
      <c r="D41" s="23">
        <f>C41-B41</f>
        <v>0</v>
      </c>
    </row>
    <row r="42" spans="1:4" x14ac:dyDescent="0.25">
      <c r="A42" s="10" t="s">
        <v>54</v>
      </c>
      <c r="B42" s="11">
        <f>SUM(B39:B41)</f>
        <v>0</v>
      </c>
      <c r="C42" s="11">
        <f>SUM(C39:C41)</f>
        <v>0</v>
      </c>
      <c r="D42" s="11">
        <f>C42-B42</f>
        <v>0</v>
      </c>
    </row>
    <row r="44" spans="1:4" x14ac:dyDescent="0.25">
      <c r="A44" s="3" t="s">
        <v>73</v>
      </c>
      <c r="B44" s="3"/>
      <c r="C44" s="3"/>
      <c r="D44" s="3"/>
    </row>
    <row r="45" spans="1:4" x14ac:dyDescent="0.25">
      <c r="A45" s="4" t="s">
        <v>74</v>
      </c>
      <c r="B45" s="8">
        <f>'Start Here'!E5*'Start Here'!B11</f>
        <v>0</v>
      </c>
      <c r="C45" s="8">
        <v>0</v>
      </c>
      <c r="D45" s="23">
        <f t="shared" ref="D45:D50" si="2">C45-B45</f>
        <v>0</v>
      </c>
    </row>
    <row r="46" spans="1:4" x14ac:dyDescent="0.25">
      <c r="A46" s="4" t="s">
        <v>75</v>
      </c>
      <c r="B46" s="8">
        <v>0</v>
      </c>
      <c r="C46" s="8">
        <v>0</v>
      </c>
      <c r="D46" s="23">
        <f t="shared" si="2"/>
        <v>0</v>
      </c>
    </row>
    <row r="47" spans="1:4" x14ac:dyDescent="0.25">
      <c r="A47" s="4" t="s">
        <v>76</v>
      </c>
      <c r="B47" s="8">
        <v>0</v>
      </c>
      <c r="C47" s="8">
        <v>0</v>
      </c>
      <c r="D47" s="23">
        <f t="shared" si="2"/>
        <v>0</v>
      </c>
    </row>
    <row r="48" spans="1:4" x14ac:dyDescent="0.25">
      <c r="A48" s="4" t="s">
        <v>77</v>
      </c>
      <c r="B48" s="8">
        <v>0</v>
      </c>
      <c r="C48" s="8">
        <v>0</v>
      </c>
      <c r="D48" s="23">
        <f t="shared" si="2"/>
        <v>0</v>
      </c>
    </row>
    <row r="49" spans="1:4" x14ac:dyDescent="0.25">
      <c r="A49" s="4" t="s">
        <v>78</v>
      </c>
      <c r="B49" s="8">
        <v>0</v>
      </c>
      <c r="C49" s="8">
        <v>0</v>
      </c>
      <c r="D49" s="23">
        <f t="shared" si="2"/>
        <v>0</v>
      </c>
    </row>
    <row r="50" spans="1:4" x14ac:dyDescent="0.25">
      <c r="A50" s="10" t="s">
        <v>54</v>
      </c>
      <c r="B50" s="11">
        <f>SUM(B45:B49)</f>
        <v>0</v>
      </c>
      <c r="C50" s="11">
        <f>SUM(C45:C49)</f>
        <v>0</v>
      </c>
      <c r="D50" s="11">
        <f t="shared" si="2"/>
        <v>0</v>
      </c>
    </row>
    <row r="52" spans="1:4" x14ac:dyDescent="0.25">
      <c r="A52" s="3" t="s">
        <v>79</v>
      </c>
      <c r="B52" s="3"/>
      <c r="C52" s="3"/>
      <c r="D52" s="3"/>
    </row>
    <row r="53" spans="1:4" x14ac:dyDescent="0.25">
      <c r="A53" s="4" t="s">
        <v>80</v>
      </c>
      <c r="B53" s="8">
        <v>0</v>
      </c>
      <c r="C53" s="8">
        <v>0</v>
      </c>
      <c r="D53" s="23">
        <f t="shared" ref="D53:D58" si="3">C53-B53</f>
        <v>0</v>
      </c>
    </row>
    <row r="54" spans="1:4" x14ac:dyDescent="0.25">
      <c r="A54" s="4" t="s">
        <v>81</v>
      </c>
      <c r="B54" s="8">
        <v>0</v>
      </c>
      <c r="C54" s="8">
        <v>0</v>
      </c>
      <c r="D54" s="23">
        <f t="shared" si="3"/>
        <v>0</v>
      </c>
    </row>
    <row r="55" spans="1:4" x14ac:dyDescent="0.25">
      <c r="A55" s="4" t="s">
        <v>82</v>
      </c>
      <c r="B55" s="8">
        <v>0</v>
      </c>
      <c r="C55" s="8">
        <v>0</v>
      </c>
      <c r="D55" s="23">
        <f t="shared" si="3"/>
        <v>0</v>
      </c>
    </row>
    <row r="56" spans="1:4" x14ac:dyDescent="0.25">
      <c r="A56" s="4" t="s">
        <v>83</v>
      </c>
      <c r="B56" s="8">
        <v>0</v>
      </c>
      <c r="C56" s="8">
        <v>0</v>
      </c>
      <c r="D56" s="23">
        <f t="shared" si="3"/>
        <v>0</v>
      </c>
    </row>
    <row r="57" spans="1:4" x14ac:dyDescent="0.25">
      <c r="A57" s="4" t="s">
        <v>84</v>
      </c>
      <c r="B57" s="8">
        <v>0</v>
      </c>
      <c r="C57" s="8">
        <v>0</v>
      </c>
      <c r="D57" s="23">
        <f t="shared" si="3"/>
        <v>0</v>
      </c>
    </row>
    <row r="58" spans="1:4" x14ac:dyDescent="0.25">
      <c r="A58" s="10" t="s">
        <v>54</v>
      </c>
      <c r="B58" s="11">
        <f>SUM(B53:B57)</f>
        <v>0</v>
      </c>
      <c r="C58" s="11">
        <f>SUM(C53:C57)</f>
        <v>0</v>
      </c>
      <c r="D58" s="11">
        <f t="shared" si="3"/>
        <v>0</v>
      </c>
    </row>
    <row r="60" spans="1:4" x14ac:dyDescent="0.25">
      <c r="A60" s="3" t="s">
        <v>85</v>
      </c>
      <c r="B60" s="3"/>
      <c r="C60" s="3"/>
      <c r="D60" s="3"/>
    </row>
    <row r="61" spans="1:4" x14ac:dyDescent="0.25">
      <c r="A61" s="4" t="s">
        <v>86</v>
      </c>
      <c r="B61" s="8">
        <v>0</v>
      </c>
      <c r="C61" s="8">
        <v>0</v>
      </c>
      <c r="D61" s="23">
        <f>C61-B61</f>
        <v>0</v>
      </c>
    </row>
    <row r="62" spans="1:4" x14ac:dyDescent="0.25">
      <c r="A62" s="4" t="s">
        <v>87</v>
      </c>
      <c r="B62" s="8">
        <v>0</v>
      </c>
      <c r="C62" s="8">
        <v>0</v>
      </c>
      <c r="D62" s="23">
        <f>C62-B62</f>
        <v>0</v>
      </c>
    </row>
    <row r="63" spans="1:4" x14ac:dyDescent="0.25">
      <c r="A63" s="4" t="s">
        <v>88</v>
      </c>
      <c r="B63" s="8">
        <v>0</v>
      </c>
      <c r="C63" s="8">
        <v>0</v>
      </c>
      <c r="D63" s="23">
        <f>C63-B63</f>
        <v>0</v>
      </c>
    </row>
    <row r="64" spans="1:4" x14ac:dyDescent="0.25">
      <c r="A64" s="10" t="s">
        <v>54</v>
      </c>
      <c r="B64" s="11">
        <f>SUM(B61:B63)</f>
        <v>0</v>
      </c>
      <c r="C64" s="11">
        <f>SUM(C61:C63)</f>
        <v>0</v>
      </c>
      <c r="D64" s="11">
        <f>C64-B64</f>
        <v>0</v>
      </c>
    </row>
    <row r="66" spans="1:4" x14ac:dyDescent="0.25">
      <c r="A66" s="3" t="s">
        <v>89</v>
      </c>
      <c r="B66" s="3"/>
      <c r="C66" s="3"/>
      <c r="D66" s="3"/>
    </row>
    <row r="67" spans="1:4" x14ac:dyDescent="0.25">
      <c r="A67" s="4" t="s">
        <v>90</v>
      </c>
      <c r="B67" s="8">
        <v>0</v>
      </c>
      <c r="C67" s="8">
        <v>0</v>
      </c>
      <c r="D67" s="23">
        <f>C67-B67</f>
        <v>0</v>
      </c>
    </row>
    <row r="68" spans="1:4" x14ac:dyDescent="0.25">
      <c r="A68" s="4" t="s">
        <v>91</v>
      </c>
      <c r="B68" s="8">
        <v>0</v>
      </c>
      <c r="C68" s="8">
        <v>0</v>
      </c>
      <c r="D68" s="23">
        <f>C68-B68</f>
        <v>0</v>
      </c>
    </row>
    <row r="69" spans="1:4" x14ac:dyDescent="0.25">
      <c r="A69" s="4" t="s">
        <v>92</v>
      </c>
      <c r="B69" s="8">
        <v>0</v>
      </c>
      <c r="C69" s="8">
        <v>0</v>
      </c>
      <c r="D69" s="23">
        <f>C69-B69</f>
        <v>0</v>
      </c>
    </row>
    <row r="70" spans="1:4" x14ac:dyDescent="0.25">
      <c r="A70" s="10" t="s">
        <v>54</v>
      </c>
      <c r="B70" s="11">
        <f>SUM(B67:B69)</f>
        <v>0</v>
      </c>
      <c r="C70" s="11">
        <f>SUM(C67:C69)</f>
        <v>0</v>
      </c>
      <c r="D70" s="11">
        <f>C70-B70</f>
        <v>0</v>
      </c>
    </row>
    <row r="72" ht="15.75" customHeight="1" spans="1:4" x14ac:dyDescent="0.25">
      <c r="A72" s="24" t="s">
        <v>93</v>
      </c>
      <c r="B72" s="25">
        <f>SUM($B$16,$B$22,$B$30,$B$36,$B$42,$B$50,$B$58,$B$64,$B$70)</f>
        <v>0</v>
      </c>
      <c r="C72" s="25">
        <f>SUM($C$16,$C$22,$C$30,$C$36,$C$42,CB$50,$C$58,$C$64,$C$70)</f>
        <v>0</v>
      </c>
      <c r="D72" s="25">
        <f>C72-B72</f>
        <v>0</v>
      </c>
    </row>
    <row r="73" ht="15.75" customHeight="1" spans="1:4" x14ac:dyDescent="0.25">
      <c r="A73" s="24" t="s">
        <v>94</v>
      </c>
      <c r="B73" s="26">
        <f>B6-B72</f>
        <v>0</v>
      </c>
      <c r="C73" s="26">
        <f>C6-C72</f>
        <v>0</v>
      </c>
      <c r="D73" s="26">
        <f>C73-B73</f>
        <v>0</v>
      </c>
    </row>
  </sheetData>
  <mergeCells count="12">
    <mergeCell ref="A1:H1"/>
    <mergeCell ref="A2:H2"/>
    <mergeCell ref="A4:D4"/>
    <mergeCell ref="A9:D9"/>
    <mergeCell ref="A18:D18"/>
    <mergeCell ref="A24:D24"/>
    <mergeCell ref="A32:D32"/>
    <mergeCell ref="A38:D38"/>
    <mergeCell ref="A44:D44"/>
    <mergeCell ref="A52:D52"/>
    <mergeCell ref="A60:D60"/>
    <mergeCell ref="A66:D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showGridLines="0" zoomScale="100" zoomScaleNormal="100">
      <pane ySplit="4" topLeftCell="A5" activePane="bottomLeft" state="frozen"/>
      <selection pane="bottomLeft" activeCell="B20" sqref="B20"/>
    </sheetView>
  </sheetViews>
  <sheetFormatPr defaultRowHeight="15" outlineLevelRow="0" outlineLevelCol="0" x14ac:dyDescent="0.25"/>
  <cols>
    <col min="1" max="1" width="26" customWidth="1"/>
    <col min="2" max="2" width="12" customWidth="1"/>
    <col min="3" max="3" width="33.140625" customWidth="1"/>
    <col min="4" max="5" width="12" customWidth="1"/>
    <col min="6" max="6" width="22" customWidth="1"/>
    <col min="7" max="7" width="30" customWidth="1"/>
  </cols>
  <sheetData>
    <row r="1" ht="28.5" customHeight="1" spans="1:8" x14ac:dyDescent="0.25">
      <c r="A1" s="1" t="s">
        <v>95</v>
      </c>
      <c r="B1"/>
      <c r="C1"/>
      <c r="D1"/>
      <c r="E1"/>
      <c r="F1"/>
      <c r="G1"/>
      <c r="H1"/>
    </row>
    <row r="2" spans="1:8" x14ac:dyDescent="0.25">
      <c r="A2" s="18" t="s">
        <v>96</v>
      </c>
      <c r="B2"/>
      <c r="C2"/>
      <c r="D2"/>
      <c r="E2"/>
      <c r="F2"/>
      <c r="G2"/>
      <c r="H2"/>
    </row>
    <row r="4" ht="15.75" customHeight="1" spans="1:7" x14ac:dyDescent="0.25">
      <c r="A4" s="22" t="s">
        <v>97</v>
      </c>
      <c r="B4" s="22" t="s">
        <v>98</v>
      </c>
      <c r="C4" s="22" t="s">
        <v>99</v>
      </c>
      <c r="D4" s="22" t="s">
        <v>100</v>
      </c>
      <c r="E4" s="22" t="s">
        <v>101</v>
      </c>
      <c r="F4" s="22" t="s">
        <v>42</v>
      </c>
      <c r="G4" s="22" t="s">
        <v>37</v>
      </c>
    </row>
    <row r="5" spans="1:7" x14ac:dyDescent="0.25">
      <c r="A5" s="4" t="s">
        <v>102</v>
      </c>
      <c r="B5" s="27"/>
      <c r="C5" s="28"/>
      <c r="D5" s="29" t="s">
        <v>103</v>
      </c>
      <c r="E5" s="29"/>
      <c r="F5" s="29" t="s">
        <v>104</v>
      </c>
      <c r="G5" s="5"/>
    </row>
    <row r="6" spans="1:7" x14ac:dyDescent="0.25">
      <c r="A6" s="4" t="s">
        <v>105</v>
      </c>
      <c r="B6" s="27"/>
      <c r="C6" s="28"/>
      <c r="D6" s="29" t="s">
        <v>20</v>
      </c>
      <c r="E6" s="29"/>
      <c r="F6" s="29" t="s">
        <v>104</v>
      </c>
      <c r="G6" s="5"/>
    </row>
    <row r="7" spans="1:7" x14ac:dyDescent="0.25">
      <c r="A7" s="4" t="s">
        <v>51</v>
      </c>
      <c r="B7" s="27"/>
      <c r="C7" s="28"/>
      <c r="D7" s="29" t="s">
        <v>103</v>
      </c>
      <c r="E7" s="29"/>
      <c r="F7" s="29" t="s">
        <v>104</v>
      </c>
      <c r="G7" s="5"/>
    </row>
    <row r="8" spans="1:7" x14ac:dyDescent="0.25">
      <c r="A8" s="4" t="s">
        <v>90</v>
      </c>
      <c r="B8" s="27"/>
      <c r="C8" s="28"/>
      <c r="D8" s="29" t="s">
        <v>103</v>
      </c>
      <c r="E8" s="29"/>
      <c r="F8" s="29" t="s">
        <v>106</v>
      </c>
      <c r="G8" s="5"/>
    </row>
    <row r="9" spans="1:7" x14ac:dyDescent="0.25">
      <c r="A9" s="4" t="s">
        <v>60</v>
      </c>
      <c r="B9" s="27"/>
      <c r="C9" s="28"/>
      <c r="D9" s="29" t="s">
        <v>103</v>
      </c>
      <c r="E9" s="29"/>
      <c r="F9" s="29" t="s">
        <v>107</v>
      </c>
      <c r="G9" s="5"/>
    </row>
    <row r="10" spans="1:7" x14ac:dyDescent="0.25">
      <c r="A10" s="4" t="s">
        <v>62</v>
      </c>
      <c r="B10" s="27"/>
      <c r="C10" s="28"/>
      <c r="D10" s="29" t="s">
        <v>103</v>
      </c>
      <c r="E10" s="29"/>
      <c r="F10" s="29" t="s">
        <v>107</v>
      </c>
      <c r="G10" s="5"/>
    </row>
    <row r="11" spans="1:7" x14ac:dyDescent="0.25">
      <c r="A11" s="4" t="s">
        <v>80</v>
      </c>
      <c r="B11" s="27"/>
      <c r="C11" s="28"/>
      <c r="D11" s="29" t="s">
        <v>103</v>
      </c>
      <c r="E11" s="29"/>
      <c r="F11" s="29" t="s">
        <v>108</v>
      </c>
      <c r="G11" s="5"/>
    </row>
    <row r="20" spans="1:2" x14ac:dyDescent="0.25">
      <c r="A20" s="10" t="s">
        <v>109</v>
      </c>
      <c r="B20" s="11">
        <f>SUM(B5:B200)</f>
      </c>
    </row>
  </sheetData>
  <mergeCells count="2">
    <mergeCell ref="A1:H1"/>
    <mergeCell ref="A2:H2"/>
  </mergeCells>
  <dataValidations count="2">
    <dataValidation type="list" allowBlank="1" sqref="D10:D200">
      <formula1>"TRUE,FALSE"</formula1>
    </dataValidation>
    <dataValidation type="list" allowBlank="1" sqref="D5:D200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>
      <pane ySplit="4" topLeftCell="A5" activePane="bottomLeft" state="frozen"/>
      <selection pane="bottomLeft" activeCell="C17" sqref="C17"/>
    </sheetView>
  </sheetViews>
  <sheetFormatPr defaultRowHeight="15" outlineLevelRow="0" outlineLevelCol="0" x14ac:dyDescent="0.25"/>
  <cols>
    <col min="1" max="1" width="26" customWidth="1"/>
    <col min="2" max="4" width="16" customWidth="1"/>
    <col min="5" max="5" width="18" customWidth="1"/>
    <col min="6" max="6" width="30" customWidth="1"/>
  </cols>
  <sheetData>
    <row r="1" ht="28.5" customHeight="1" spans="1:8" x14ac:dyDescent="0.25">
      <c r="A1" s="1" t="s">
        <v>110</v>
      </c>
      <c r="B1"/>
      <c r="C1"/>
      <c r="D1"/>
      <c r="E1"/>
      <c r="F1"/>
      <c r="G1"/>
      <c r="H1"/>
    </row>
    <row r="2" spans="1:8" x14ac:dyDescent="0.25">
      <c r="A2" s="18" t="s">
        <v>111</v>
      </c>
      <c r="B2"/>
      <c r="C2"/>
      <c r="D2"/>
      <c r="E2"/>
      <c r="F2"/>
      <c r="G2"/>
      <c r="H2"/>
    </row>
    <row r="4" ht="15.75" customHeight="1" spans="1:6" x14ac:dyDescent="0.25">
      <c r="A4" s="22" t="s">
        <v>112</v>
      </c>
      <c r="B4" s="22" t="s">
        <v>113</v>
      </c>
      <c r="C4" s="22" t="s">
        <v>114</v>
      </c>
      <c r="D4" s="22" t="s">
        <v>115</v>
      </c>
      <c r="E4" s="22" t="s">
        <v>116</v>
      </c>
      <c r="F4" s="22" t="s">
        <v>37</v>
      </c>
    </row>
    <row r="5" spans="1:6" x14ac:dyDescent="0.25">
      <c r="A5" s="13" t="s">
        <v>117</v>
      </c>
      <c r="B5" s="8">
        <v>1000</v>
      </c>
      <c r="C5" s="8"/>
      <c r="D5" s="8">
        <v>50</v>
      </c>
      <c r="E5" s="30">
        <f>IF(D5&lt;=0,"",IF(B5&lt;=C5,0,CEILING((B5-C5)/D5,1)))</f>
        <v>20</v>
      </c>
      <c r="F5" s="5"/>
    </row>
    <row r="6" spans="1:6" x14ac:dyDescent="0.25">
      <c r="A6" s="13" t="s">
        <v>118</v>
      </c>
      <c r="B6" s="8">
        <v>3000</v>
      </c>
      <c r="C6" s="8">
        <v>0</v>
      </c>
      <c r="D6" s="8">
        <v>200</v>
      </c>
      <c r="E6" s="30">
        <f>IF(D6&lt;=0,"",IF(B6&lt;=C6,0,CEILING((B6-C6)/D6,1)))</f>
        <v>15</v>
      </c>
      <c r="F6" s="5"/>
    </row>
    <row r="7" spans="1:6" x14ac:dyDescent="0.25">
      <c r="A7" s="13" t="s">
        <v>119</v>
      </c>
      <c r="B7" s="8">
        <v>2000</v>
      </c>
      <c r="C7" s="8">
        <v>0</v>
      </c>
      <c r="D7" s="8">
        <v>150</v>
      </c>
      <c r="E7" s="30">
        <f>IF(D7&lt;=0,"",IF(B7&lt;=C7,0,CEILING((B7-C7)/D7,1)))</f>
        <v>14</v>
      </c>
      <c r="F7" s="5"/>
    </row>
    <row r="8" spans="1:6" x14ac:dyDescent="0.25">
      <c r="A8" s="13" t="s">
        <v>120</v>
      </c>
      <c r="B8" s="8">
        <v>20000</v>
      </c>
      <c r="C8" s="8">
        <v>0</v>
      </c>
      <c r="D8" s="8">
        <v>500</v>
      </c>
      <c r="E8" s="30">
        <f>IF(D8&lt;=0,"",IF(B8&lt;=C8,0,CEILING((B8-C8)/D8,1)))</f>
        <v>40</v>
      </c>
      <c r="F8" s="5"/>
    </row>
    <row r="9" spans="1:6" x14ac:dyDescent="0.25">
      <c r="A9" s="13" t="s">
        <v>121</v>
      </c>
      <c r="B9" s="8">
        <v>5000</v>
      </c>
      <c r="C9" s="8">
        <v>0</v>
      </c>
      <c r="D9" s="8">
        <v>150</v>
      </c>
      <c r="E9" s="30">
        <f>IF(D9&lt;=0,"",IF(B9&lt;=C9,0,CEILING((B9-C9)/D9,1)))</f>
        <v>34</v>
      </c>
      <c r="F9" s="5"/>
    </row>
  </sheetData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Budget</vt:lpstr>
      <vt:lpstr>Bills &amp; Due Dates</vt:lpstr>
      <vt:lpstr>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Parker</cp:lastModifiedBy>
  <dcterms:created xsi:type="dcterms:W3CDTF">2026-02-21T21:13:59Z</dcterms:created>
  <dcterms:modified xsi:type="dcterms:W3CDTF">2026-02-21T23:00:57Z</dcterms:modified>
</cp:coreProperties>
</file>