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Bills &amp; Due Dates" sheetId="3" state="visible" r:id="rId3"/>
    <sheet xmlns:r="http://schemas.openxmlformats.org/officeDocument/2006/relationships" name="Goals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1">
    <font>
      <name val="Calibri"/>
      <family val="2"/>
      <color theme="1"/>
      <sz val="11"/>
      <scheme val="minor"/>
    </font>
    <font>
      <b val="1"/>
      <color rgb="00111827"/>
      <sz val="22"/>
    </font>
    <font>
      <color rgb="00374151"/>
      <sz val="11"/>
    </font>
    <font>
      <b val="1"/>
      <color rgb="00111827"/>
      <sz val="11"/>
    </font>
    <font>
      <color rgb="001D4ED8"/>
    </font>
    <font>
      <color rgb="006B7280"/>
      <sz val="9"/>
    </font>
    <font>
      <color rgb="00065F46"/>
    </font>
    <font>
      <b val="1"/>
    </font>
    <font>
      <color rgb="00374151"/>
      <sz val="10"/>
    </font>
    <font>
      <b val="1"/>
      <color rgb="00FFFFFF"/>
      <sz val="12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E0F2FE"/>
      </patternFill>
    </fill>
    <fill>
      <patternFill patternType="solid">
        <fgColor rgb="00DCFCE7"/>
      </patternFill>
    </fill>
    <fill>
      <patternFill patternType="solid">
        <fgColor rgb="00ECFDF5"/>
      </patternFill>
    </fill>
    <fill>
      <patternFill patternType="solid">
        <fgColor rgb="00FFFBEB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5" fontId="6" fillId="4" borderId="1" pivotButton="0" quotePrefix="0" xfId="0"/>
    <xf numFmtId="164" fontId="4" fillId="3" borderId="1" pivotButton="0" quotePrefix="0" xfId="0"/>
    <xf numFmtId="165" fontId="4" fillId="3" borderId="1" pivotButton="0" quotePrefix="0" xfId="0"/>
    <xf numFmtId="164" fontId="4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0" borderId="1" pivotButton="0" quotePrefix="0" xfId="0"/>
    <xf numFmtId="165" fontId="7" fillId="5" borderId="1" pivotButton="0" quotePrefix="0" xfId="0"/>
    <xf numFmtId="0" fontId="0" fillId="0" borderId="1" pivotButton="0" quotePrefix="0" xfId="0"/>
    <xf numFmtId="165" fontId="0" fillId="6" borderId="1" pivotButton="0" quotePrefix="0" xfId="0"/>
    <xf numFmtId="165" fontId="0" fillId="5" borderId="1" pivotButton="0" quotePrefix="0" xfId="0"/>
    <xf numFmtId="0" fontId="8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165" fontId="0" fillId="0" borderId="1" pivotButton="0" quotePrefix="0" xfId="0"/>
    <xf numFmtId="0" fontId="10" fillId="0" borderId="1" pivotButton="0" quotePrefix="0" xfId="0"/>
    <xf numFmtId="165" fontId="10" fillId="5" borderId="1" pivotButton="0" quotePrefix="0" xfId="0"/>
    <xf numFmtId="165" fontId="10" fillId="6" borderId="1" pivotButton="0" quotePrefix="0" xfId="0"/>
    <xf numFmtId="165" fontId="4" fillId="3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Income Components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'Dashboard'!$F$6:$F$9</f>
            </numRef>
          </cat>
          <val>
            <numRef>
              <f>'Dashboard'!$G$6:$G$9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Planned Spending by Bucket</a:t>
            </a:r>
          </a:p>
        </rich>
      </tx>
    </title>
    <plotArea>
      <pieChart>
        <varyColors val="1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'Dashboard'!$A$13:$A$21</f>
            </numRef>
          </cat>
          <val>
            <numRef>
              <f>'Dashboard'!$B$13:$B$21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" customWidth="1" min="3" max="3"/>
    <col width="26" customWidth="1" min="4" max="4"/>
    <col width="18" customWidth="1" min="5" max="5"/>
    <col width="2" customWidth="1" min="6" max="6"/>
    <col width="26" customWidth="1" min="7" max="7"/>
    <col width="18" customWidth="1" min="8" max="8"/>
  </cols>
  <sheetData>
    <row r="1">
      <c r="A1" s="1" t="inlineStr">
        <is>
          <t>OfficerOS Budget Sheet (Hybrid)</t>
        </is>
      </c>
    </row>
    <row r="2">
      <c r="A2" s="2" t="inlineStr">
        <is>
          <t>Pre-filled for military pay. Change only the blue input cells. Monthly view.</t>
        </is>
      </c>
    </row>
    <row r="4">
      <c r="A4" s="3" t="inlineStr">
        <is>
          <t>Inputs</t>
        </is>
      </c>
      <c r="B4" s="3" t="n"/>
      <c r="D4" s="3" t="inlineStr">
        <is>
          <t>Monthly Pay (auto-filled from OfficerOS export)</t>
        </is>
      </c>
      <c r="E4" s="3" t="n"/>
      <c r="G4" s="3" t="inlineStr">
        <is>
          <t>Hybrid Budget Targets (editable)</t>
        </is>
      </c>
      <c r="H4" s="3" t="n"/>
    </row>
    <row r="5">
      <c r="A5" s="4" t="inlineStr">
        <is>
          <t>Year</t>
        </is>
      </c>
      <c r="B5" s="5" t="n">
        <v>2026</v>
      </c>
      <c r="D5" s="4" t="inlineStr">
        <is>
          <t>Base Pay (taxable)</t>
        </is>
      </c>
      <c r="E5" s="6" t="n">
        <v>0</v>
      </c>
      <c r="G5" s="4" t="inlineStr">
        <is>
          <t>Housing target = % of BAH</t>
        </is>
      </c>
      <c r="H5" s="7" t="n">
        <v>1</v>
      </c>
    </row>
    <row r="6">
      <c r="A6" s="4" t="inlineStr">
        <is>
          <t>Pay Grade (e.g., O-1, E-5)</t>
        </is>
      </c>
      <c r="B6" s="5" t="inlineStr">
        <is>
          <t>O-1</t>
        </is>
      </c>
      <c r="D6" s="4" t="inlineStr">
        <is>
          <t>BAH (usually non-taxable)</t>
        </is>
      </c>
      <c r="E6" s="6" t="n">
        <v>0</v>
      </c>
      <c r="G6" s="4" t="inlineStr">
        <is>
          <t>Food target = % of BAS</t>
        </is>
      </c>
      <c r="H6" s="7" t="n">
        <v>1</v>
      </c>
    </row>
    <row r="7">
      <c r="A7" s="4" t="inlineStr">
        <is>
          <t>Years of Service bracket</t>
        </is>
      </c>
      <c r="B7" s="5" t="inlineStr">
        <is>
          <t>&lt; 2</t>
        </is>
      </c>
      <c r="D7" s="4" t="inlineStr">
        <is>
          <t>BAS (usually non-taxable)</t>
        </is>
      </c>
      <c r="E7" s="6" t="n">
        <v>0</v>
      </c>
      <c r="G7" s="4" t="inlineStr">
        <is>
          <t>Minimum savings rate</t>
        </is>
      </c>
      <c r="H7" s="7" t="n">
        <v>0.2</v>
      </c>
    </row>
    <row r="8">
      <c r="A8" s="4" t="inlineStr">
        <is>
          <t>Duty ZIP (5-digit)</t>
        </is>
      </c>
      <c r="B8" s="5" t="inlineStr">
        <is>
          <t>02139</t>
        </is>
      </c>
      <c r="D8" s="4" t="inlineStr">
        <is>
          <t>Other Income (manual)</t>
        </is>
      </c>
      <c r="E8" s="8" t="n">
        <v>0</v>
      </c>
    </row>
    <row r="9">
      <c r="A9" s="4" t="inlineStr">
        <is>
          <t>With dependents? (TRUE/FALSE)</t>
        </is>
      </c>
      <c r="B9" s="9" t="inlineStr">
        <is>
          <t>FALSE</t>
        </is>
      </c>
      <c r="C9" s="10" t="inlineStr">
        <is>
          <t>Select TRUE for with-dependents BAH.</t>
        </is>
      </c>
      <c r="D9" s="11" t="inlineStr">
        <is>
          <t>Total Monthly Income</t>
        </is>
      </c>
      <c r="E9" s="12">
        <f>SUM(E5:E8)</f>
        <v/>
      </c>
      <c r="G9" s="4" t="inlineStr">
        <is>
          <t>Suggested Housing Budget</t>
        </is>
      </c>
      <c r="H9" s="12">
        <f>E6*H5</f>
        <v/>
      </c>
    </row>
    <row r="10">
      <c r="A10" s="4" t="inlineStr">
        <is>
          <t>State income tax rate (optional)</t>
        </is>
      </c>
      <c r="B10" s="9" t="n">
        <v>0</v>
      </c>
      <c r="C10" s="10" t="inlineStr">
        <is>
          <t>Optional: rough estimate. Federal taxes not modeled.</t>
        </is>
      </c>
      <c r="G10" s="4" t="inlineStr">
        <is>
          <t>Suggested Food Budget</t>
        </is>
      </c>
      <c r="H10" s="12">
        <f>E7*H6</f>
        <v/>
      </c>
    </row>
    <row r="11">
      <c r="A11" s="4" t="inlineStr">
        <is>
          <t>TSP contribution % (0-1)</t>
        </is>
      </c>
      <c r="B11" s="9" t="n">
        <v>0.1</v>
      </c>
      <c r="C11" s="10" t="inlineStr">
        <is>
          <t>Optional: used for suggested TSP line item.</t>
        </is>
      </c>
      <c r="D11" s="13" t="inlineStr">
        <is>
          <t>Estimated State Tax (rough)</t>
        </is>
      </c>
      <c r="E11" s="14">
        <f>E5*B10</f>
        <v/>
      </c>
      <c r="G11" s="4" t="inlineStr">
        <is>
          <t>Suggested Minimum Savings</t>
        </is>
      </c>
      <c r="H11" s="12">
        <f>E9*H7</f>
        <v/>
      </c>
    </row>
    <row r="12">
      <c r="A12" s="4" t="inlineStr">
        <is>
          <t>Roth/Traditional note</t>
        </is>
      </c>
      <c r="B12" s="5" t="inlineStr">
        <is>
          <t>Roth / Traditional (your choice)</t>
        </is>
      </c>
      <c r="D12" s="13" t="inlineStr">
        <is>
          <t>Net After State Tax (rough)</t>
        </is>
      </c>
      <c r="E12" s="15">
        <f>E9-E11</f>
        <v/>
      </c>
    </row>
    <row r="14">
      <c r="A14" s="3" t="inlineStr">
        <is>
          <t>Notes</t>
        </is>
      </c>
      <c r="B14" s="3" t="n"/>
      <c r="C14" s="3" t="n"/>
      <c r="D14" s="3" t="n"/>
      <c r="E14" s="3" t="n"/>
      <c r="F14" s="3" t="n"/>
      <c r="G14" s="3" t="n"/>
      <c r="H14" s="3" t="n"/>
    </row>
    <row r="15">
      <c r="A15" s="16" t="inlineStr">
        <is>
          <t xml:space="preserve">• Base Pay is taxable. BAH/BAS are typically non-taxable for most service members.
• This workbook is monthly. Blue cells are for your inputs.
• Hybrid approach: Housing target ties to BAH, Food ties to BAS, and Savings uses a baseline rate.
• You can still override any line item in the Budget tab.
</t>
        </is>
      </c>
      <c r="B15" s="17" t="n"/>
      <c r="C15" s="17" t="n"/>
      <c r="D15" s="17" t="n"/>
      <c r="E15" s="17" t="n"/>
      <c r="F15" s="17" t="n"/>
      <c r="G15" s="17" t="n"/>
      <c r="H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</sheetData>
  <mergeCells count="7">
    <mergeCell ref="A4:B4"/>
    <mergeCell ref="G4:H4"/>
    <mergeCell ref="A2:H2"/>
    <mergeCell ref="A15:H18"/>
    <mergeCell ref="D4:E4"/>
    <mergeCell ref="A14:H14"/>
    <mergeCell ref="A1:H1"/>
  </mergeCells>
  <dataValidations count="2">
    <dataValidation sqref="B9" showDropDown="0" showInputMessage="0" showErrorMessage="0" allowBlank="0" type="list">
      <formula1>"TRUE,FALSE"</formula1>
    </dataValidation>
    <dataValidation sqref="B10 B11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2" customWidth="1" min="5" max="5"/>
    <col width="30" customWidth="1" min="6" max="6"/>
    <col width="14" customWidth="1" min="7" max="7"/>
    <col width="14" customWidth="1" min="8" max="8"/>
  </cols>
  <sheetData>
    <row r="1">
      <c r="A1" s="1" t="inlineStr">
        <is>
          <t>Monthly Budget</t>
        </is>
      </c>
    </row>
    <row r="2">
      <c r="A2" s="2" t="inlineStr">
        <is>
          <t>Plan vs Actual. Blue cells are your inputs. Totals &amp; Remaining update automatically.</t>
        </is>
      </c>
    </row>
    <row r="3"/>
    <row r="4">
      <c r="A4" s="3" t="inlineStr">
        <is>
          <t>Monthly Income (from Start Here)</t>
        </is>
      </c>
      <c r="B4" s="3" t="n"/>
      <c r="C4" s="3" t="n"/>
      <c r="D4" s="3" t="n"/>
    </row>
    <row r="5">
      <c r="A5" s="18" t="inlineStr">
        <is>
          <t>Category</t>
        </is>
      </c>
      <c r="B5" s="19" t="inlineStr">
        <is>
          <t>Planned</t>
        </is>
      </c>
      <c r="C5" s="19" t="inlineStr">
        <is>
          <t>Actual</t>
        </is>
      </c>
      <c r="D5" s="19" t="inlineStr">
        <is>
          <t>Diff</t>
        </is>
      </c>
    </row>
    <row r="6">
      <c r="A6" s="13" t="inlineStr">
        <is>
          <t>Income</t>
        </is>
      </c>
      <c r="B6" s="15">
        <f>'Start Here'!E9</f>
        <v/>
      </c>
      <c r="C6" s="15">
        <f>'Start Here'!E9</f>
        <v/>
      </c>
      <c r="D6" s="14">
        <f>C6-B6</f>
        <v/>
      </c>
    </row>
    <row r="7"/>
    <row r="8">
      <c r="A8" s="20" t="inlineStr">
        <is>
          <t>Category</t>
        </is>
      </c>
      <c r="B8" s="21" t="inlineStr">
        <is>
          <t>Planned</t>
        </is>
      </c>
      <c r="C8" s="21" t="inlineStr">
        <is>
          <t>Actual</t>
        </is>
      </c>
      <c r="D8" s="21" t="inlineStr">
        <is>
          <t>Diff</t>
        </is>
      </c>
    </row>
    <row r="9">
      <c r="A9" s="3" t="inlineStr">
        <is>
          <t>HOUSING (targeted to BAH)</t>
        </is>
      </c>
      <c r="B9" s="3" t="n"/>
      <c r="C9" s="3" t="n"/>
      <c r="D9" s="3" t="n"/>
    </row>
    <row r="10">
      <c r="A10" s="4" t="inlineStr">
        <is>
          <t>Rent / Mortgage</t>
        </is>
      </c>
      <c r="B10" s="8">
        <f>'Start Here'!H9</f>
        <v/>
      </c>
      <c r="C10" s="8" t="n">
        <v>0</v>
      </c>
      <c r="D10" s="22">
        <f>C10-B10</f>
        <v/>
      </c>
    </row>
    <row r="11">
      <c r="A11" s="4" t="inlineStr">
        <is>
          <t>Renter/Home Insurance</t>
        </is>
      </c>
      <c r="B11" s="8" t="n">
        <v>0</v>
      </c>
      <c r="C11" s="8" t="n">
        <v>0</v>
      </c>
      <c r="D11" s="22">
        <f>C11-B11</f>
        <v/>
      </c>
    </row>
    <row r="12">
      <c r="A12" s="4" t="inlineStr">
        <is>
          <t>Utilities (electric/gas/water)</t>
        </is>
      </c>
      <c r="B12" s="8" t="n">
        <v>0</v>
      </c>
      <c r="C12" s="8" t="n">
        <v>0</v>
      </c>
      <c r="D12" s="22">
        <f>C12-B12</f>
        <v/>
      </c>
    </row>
    <row r="13">
      <c r="A13" s="4" t="inlineStr">
        <is>
          <t>Internet</t>
        </is>
      </c>
      <c r="B13" s="8" t="n">
        <v>0</v>
      </c>
      <c r="C13" s="8" t="n">
        <v>0</v>
      </c>
      <c r="D13" s="22">
        <f>C13-B13</f>
        <v/>
      </c>
    </row>
    <row r="14">
      <c r="A14" s="4" t="inlineStr">
        <is>
          <t>HOA / Fees</t>
        </is>
      </c>
      <c r="B14" s="8" t="n">
        <v>0</v>
      </c>
      <c r="C14" s="8" t="n">
        <v>0</v>
      </c>
      <c r="D14" s="22">
        <f>C14-B14</f>
        <v/>
      </c>
    </row>
    <row r="15">
      <c r="A15" s="4" t="inlineStr">
        <is>
          <t>Maintenance / Repairs</t>
        </is>
      </c>
      <c r="B15" s="8" t="n">
        <v>0</v>
      </c>
      <c r="C15" s="8" t="n">
        <v>0</v>
      </c>
      <c r="D15" s="22">
        <f>C15-B15</f>
        <v/>
      </c>
    </row>
    <row r="16">
      <c r="A16" s="11" t="inlineStr">
        <is>
          <t>Section Total</t>
        </is>
      </c>
      <c r="B16" s="12">
        <f>SUM(B10:B15)</f>
        <v/>
      </c>
      <c r="C16" s="12">
        <f>SUM(C10:C15)</f>
        <v/>
      </c>
      <c r="D16" s="12">
        <f>C16-B16</f>
        <v/>
      </c>
    </row>
    <row r="17"/>
    <row r="18">
      <c r="A18" s="3" t="inlineStr">
        <is>
          <t>FOOD (targeted to BAS)</t>
        </is>
      </c>
      <c r="B18" s="3" t="n"/>
      <c r="C18" s="3" t="n"/>
      <c r="D18" s="3" t="n"/>
    </row>
    <row r="19">
      <c r="A19" s="4" t="inlineStr">
        <is>
          <t>Groceries</t>
        </is>
      </c>
      <c r="B19" s="8">
        <f>'Start Here'!H10</f>
        <v/>
      </c>
      <c r="C19" s="8" t="n">
        <v>0</v>
      </c>
      <c r="D19" s="22">
        <f>C19-B19</f>
        <v/>
      </c>
    </row>
    <row r="20">
      <c r="A20" s="4" t="inlineStr">
        <is>
          <t>Dining Out</t>
        </is>
      </c>
      <c r="B20" s="8" t="n">
        <v>0</v>
      </c>
      <c r="C20" s="8" t="n">
        <v>0</v>
      </c>
      <c r="D20" s="22">
        <f>C20-B20</f>
        <v/>
      </c>
    </row>
    <row r="21">
      <c r="A21" s="4" t="inlineStr">
        <is>
          <t>Coffee / Snacks</t>
        </is>
      </c>
      <c r="B21" s="8" t="n">
        <v>0</v>
      </c>
      <c r="C21" s="8" t="n">
        <v>0</v>
      </c>
      <c r="D21" s="22">
        <f>C21-B21</f>
        <v/>
      </c>
    </row>
    <row r="22">
      <c r="A22" s="11" t="inlineStr">
        <is>
          <t>Section Total</t>
        </is>
      </c>
      <c r="B22" s="12">
        <f>SUM(B19:B21)</f>
        <v/>
      </c>
      <c r="C22" s="12">
        <f>SUM(C19:C21)</f>
        <v/>
      </c>
      <c r="D22" s="12">
        <f>C22-B22</f>
        <v/>
      </c>
    </row>
    <row r="23"/>
    <row r="24">
      <c r="A24" s="3" t="inlineStr">
        <is>
          <t>TRANSPORTATION</t>
        </is>
      </c>
      <c r="B24" s="3" t="n"/>
      <c r="C24" s="3" t="n"/>
      <c r="D24" s="3" t="n"/>
    </row>
    <row r="25">
      <c r="A25" s="4" t="inlineStr">
        <is>
          <t>Car payment</t>
        </is>
      </c>
      <c r="B25" s="8" t="n">
        <v>0</v>
      </c>
      <c r="C25" s="8" t="n">
        <v>0</v>
      </c>
      <c r="D25" s="22">
        <f>C25-B25</f>
        <v/>
      </c>
    </row>
    <row r="26">
      <c r="A26" s="4" t="inlineStr">
        <is>
          <t>Gas / Transit</t>
        </is>
      </c>
      <c r="B26" s="8" t="n">
        <v>0</v>
      </c>
      <c r="C26" s="8" t="n">
        <v>0</v>
      </c>
      <c r="D26" s="22">
        <f>C26-B26</f>
        <v/>
      </c>
    </row>
    <row r="27">
      <c r="A27" s="4" t="inlineStr">
        <is>
          <t>Car insurance</t>
        </is>
      </c>
      <c r="B27" s="8" t="n">
        <v>0</v>
      </c>
      <c r="C27" s="8" t="n">
        <v>0</v>
      </c>
      <c r="D27" s="22">
        <f>C27-B27</f>
        <v/>
      </c>
    </row>
    <row r="28">
      <c r="A28" s="4" t="inlineStr">
        <is>
          <t>Parking / Tolls</t>
        </is>
      </c>
      <c r="B28" s="8" t="n">
        <v>0</v>
      </c>
      <c r="C28" s="8" t="n">
        <v>0</v>
      </c>
      <c r="D28" s="22">
        <f>C28-B28</f>
        <v/>
      </c>
    </row>
    <row r="29">
      <c r="A29" s="4" t="inlineStr">
        <is>
          <t>Maintenance</t>
        </is>
      </c>
      <c r="B29" s="8" t="n">
        <v>0</v>
      </c>
      <c r="C29" s="8" t="n">
        <v>0</v>
      </c>
      <c r="D29" s="22">
        <f>C29-B29</f>
        <v/>
      </c>
    </row>
    <row r="30">
      <c r="A30" s="11" t="inlineStr">
        <is>
          <t>Section Total</t>
        </is>
      </c>
      <c r="B30" s="12">
        <f>SUM(B25:B29)</f>
        <v/>
      </c>
      <c r="C30" s="12">
        <f>SUM(C25:C29)</f>
        <v/>
      </c>
      <c r="D30" s="12">
        <f>C30-B30</f>
        <v/>
      </c>
    </row>
    <row r="31"/>
    <row r="32">
      <c r="A32" s="3" t="inlineStr">
        <is>
          <t>HEALTH &amp; INSURANCE</t>
        </is>
      </c>
      <c r="B32" s="3" t="n"/>
      <c r="C32" s="3" t="n"/>
      <c r="D32" s="3" t="n"/>
    </row>
    <row r="33">
      <c r="A33" s="4" t="inlineStr">
        <is>
          <t>Medical / Dental out-of-pocket</t>
        </is>
      </c>
      <c r="B33" s="8" t="n">
        <v>0</v>
      </c>
      <c r="C33" s="8" t="n">
        <v>0</v>
      </c>
      <c r="D33" s="22">
        <f>C33-B33</f>
        <v/>
      </c>
    </row>
    <row r="34">
      <c r="A34" s="4" t="inlineStr">
        <is>
          <t>Gym / Fitness</t>
        </is>
      </c>
      <c r="B34" s="8" t="n">
        <v>0</v>
      </c>
      <c r="C34" s="8" t="n">
        <v>0</v>
      </c>
      <c r="D34" s="22">
        <f>C34-B34</f>
        <v/>
      </c>
    </row>
    <row r="35">
      <c r="A35" s="4" t="inlineStr">
        <is>
          <t>Life insurance</t>
        </is>
      </c>
      <c r="B35" s="8" t="n">
        <v>0</v>
      </c>
      <c r="C35" s="8" t="n">
        <v>0</v>
      </c>
      <c r="D35" s="22">
        <f>C35-B35</f>
        <v/>
      </c>
    </row>
    <row r="36">
      <c r="A36" s="11" t="inlineStr">
        <is>
          <t>Section Total</t>
        </is>
      </c>
      <c r="B36" s="12">
        <f>SUM(B33:B35)</f>
        <v/>
      </c>
      <c r="C36" s="12">
        <f>SUM(C33:C35)</f>
        <v/>
      </c>
      <c r="D36" s="12">
        <f>C36-B36</f>
        <v/>
      </c>
    </row>
    <row r="37"/>
    <row r="38">
      <c r="A38" s="3" t="inlineStr">
        <is>
          <t>DEBT PAYDOWN</t>
        </is>
      </c>
      <c r="B38" s="3" t="n"/>
      <c r="C38" s="3" t="n"/>
      <c r="D38" s="3" t="n"/>
    </row>
    <row r="39">
      <c r="A39" s="4" t="inlineStr">
        <is>
          <t>Credit cards (beyond minimum)</t>
        </is>
      </c>
      <c r="B39" s="8" t="n">
        <v>0</v>
      </c>
      <c r="C39" s="8" t="n">
        <v>0</v>
      </c>
      <c r="D39" s="22">
        <f>C39-B39</f>
        <v/>
      </c>
    </row>
    <row r="40">
      <c r="A40" s="4" t="inlineStr">
        <is>
          <t>Student loans</t>
        </is>
      </c>
      <c r="B40" s="8" t="n">
        <v>0</v>
      </c>
      <c r="C40" s="8" t="n">
        <v>0</v>
      </c>
      <c r="D40" s="22">
        <f>C40-B40</f>
        <v/>
      </c>
    </row>
    <row r="41">
      <c r="A41" s="4" t="inlineStr">
        <is>
          <t>Personal/Auto loan extra</t>
        </is>
      </c>
      <c r="B41" s="8" t="n">
        <v>0</v>
      </c>
      <c r="C41" s="8" t="n">
        <v>0</v>
      </c>
      <c r="D41" s="22">
        <f>C41-B41</f>
        <v/>
      </c>
    </row>
    <row r="42">
      <c r="A42" s="11" t="inlineStr">
        <is>
          <t>Section Total</t>
        </is>
      </c>
      <c r="B42" s="12">
        <f>SUM(B39:B41)</f>
        <v/>
      </c>
      <c r="C42" s="12">
        <f>SUM(C39:C41)</f>
        <v/>
      </c>
      <c r="D42" s="12">
        <f>C42-B42</f>
        <v/>
      </c>
    </row>
    <row r="43"/>
    <row r="44">
      <c r="A44" s="3" t="inlineStr">
        <is>
          <t>SAVINGS &amp; INVESTING (targeted to min savings)</t>
        </is>
      </c>
      <c r="B44" s="3" t="n"/>
      <c r="C44" s="3" t="n"/>
      <c r="D44" s="3" t="n"/>
    </row>
    <row r="45">
      <c r="A45" s="4" t="inlineStr">
        <is>
          <t>TSP (auto from %)</t>
        </is>
      </c>
      <c r="B45" s="8">
        <f> 'Start Here'!E5*'Start Here'!B11</f>
        <v/>
      </c>
      <c r="C45" s="8" t="n">
        <v>0</v>
      </c>
      <c r="D45" s="22">
        <f>C45-B45</f>
        <v/>
      </c>
    </row>
    <row r="46">
      <c r="A46" s="4" t="inlineStr">
        <is>
          <t>Roth IRA / IRA</t>
        </is>
      </c>
      <c r="B46" s="8" t="n">
        <v>0</v>
      </c>
      <c r="C46" s="8" t="n">
        <v>0</v>
      </c>
      <c r="D46" s="22">
        <f>C46-B46</f>
        <v/>
      </c>
    </row>
    <row r="47">
      <c r="A47" s="4" t="inlineStr">
        <is>
          <t>Brokerage</t>
        </is>
      </c>
      <c r="B47" s="8" t="n">
        <v>0</v>
      </c>
      <c r="C47" s="8" t="n">
        <v>0</v>
      </c>
      <c r="D47" s="22">
        <f>C47-B47</f>
        <v/>
      </c>
    </row>
    <row r="48">
      <c r="A48" s="4" t="inlineStr">
        <is>
          <t>Emergency fund</t>
        </is>
      </c>
      <c r="B48" s="8" t="n">
        <v>0</v>
      </c>
      <c r="C48" s="8" t="n">
        <v>0</v>
      </c>
      <c r="D48" s="22">
        <f>C48-B48</f>
        <v/>
      </c>
    </row>
    <row r="49">
      <c r="A49" s="4" t="inlineStr">
        <is>
          <t>Sinking funds (gifts/PCS/travel)</t>
        </is>
      </c>
      <c r="B49" s="8" t="n">
        <v>0</v>
      </c>
      <c r="C49" s="8" t="n">
        <v>0</v>
      </c>
      <c r="D49" s="22">
        <f>C49-B49</f>
        <v/>
      </c>
    </row>
    <row r="50">
      <c r="A50" s="11" t="inlineStr">
        <is>
          <t>Section Total</t>
        </is>
      </c>
      <c r="B50" s="12">
        <f>SUM(B45:B49)</f>
        <v/>
      </c>
      <c r="C50" s="12">
        <f>SUM(C45:C49)</f>
        <v/>
      </c>
      <c r="D50" s="12">
        <f>C50-B50</f>
        <v/>
      </c>
    </row>
    <row r="51"/>
    <row r="52">
      <c r="A52" s="3" t="inlineStr">
        <is>
          <t>WANTS &amp; LIFESTYLE</t>
        </is>
      </c>
      <c r="B52" s="3" t="n"/>
      <c r="C52" s="3" t="n"/>
      <c r="D52" s="3" t="n"/>
    </row>
    <row r="53">
      <c r="A53" s="4" t="inlineStr">
        <is>
          <t>Subscriptions</t>
        </is>
      </c>
      <c r="B53" s="8" t="n">
        <v>0</v>
      </c>
      <c r="C53" s="8" t="n">
        <v>0</v>
      </c>
      <c r="D53" s="22">
        <f>C53-B53</f>
        <v/>
      </c>
    </row>
    <row r="54">
      <c r="A54" s="4" t="inlineStr">
        <is>
          <t>Shopping</t>
        </is>
      </c>
      <c r="B54" s="8" t="n">
        <v>0</v>
      </c>
      <c r="C54" s="8" t="n">
        <v>0</v>
      </c>
      <c r="D54" s="22">
        <f>C54-B54</f>
        <v/>
      </c>
    </row>
    <row r="55">
      <c r="A55" s="4" t="inlineStr">
        <is>
          <t>Entertainment</t>
        </is>
      </c>
      <c r="B55" s="8" t="n">
        <v>0</v>
      </c>
      <c r="C55" s="8" t="n">
        <v>0</v>
      </c>
      <c r="D55" s="22">
        <f>C55-B55</f>
        <v/>
      </c>
    </row>
    <row r="56">
      <c r="A56" s="4" t="inlineStr">
        <is>
          <t>Travel</t>
        </is>
      </c>
      <c r="B56" s="8" t="n">
        <v>0</v>
      </c>
      <c r="C56" s="8" t="n">
        <v>0</v>
      </c>
      <c r="D56" s="22">
        <f>C56-B56</f>
        <v/>
      </c>
    </row>
    <row r="57">
      <c r="A57" s="4" t="inlineStr">
        <is>
          <t>Hobbies</t>
        </is>
      </c>
      <c r="B57" s="8" t="n">
        <v>0</v>
      </c>
      <c r="C57" s="8" t="n">
        <v>0</v>
      </c>
      <c r="D57" s="22">
        <f>C57-B57</f>
        <v/>
      </c>
    </row>
    <row r="58">
      <c r="A58" s="11" t="inlineStr">
        <is>
          <t>Section Total</t>
        </is>
      </c>
      <c r="B58" s="12">
        <f>SUM(B53:B57)</f>
        <v/>
      </c>
      <c r="C58" s="12">
        <f>SUM(C53:C57)</f>
        <v/>
      </c>
      <c r="D58" s="12">
        <f>C58-B58</f>
        <v/>
      </c>
    </row>
    <row r="59"/>
    <row r="60">
      <c r="A60" s="3" t="inlineStr">
        <is>
          <t>KIDS / FAMILY (if applicable)</t>
        </is>
      </c>
      <c r="B60" s="3" t="n"/>
      <c r="C60" s="3" t="n"/>
      <c r="D60" s="3" t="n"/>
    </row>
    <row r="61">
      <c r="A61" s="4" t="inlineStr">
        <is>
          <t>Childcare</t>
        </is>
      </c>
      <c r="B61" s="8" t="n">
        <v>0</v>
      </c>
      <c r="C61" s="8" t="n">
        <v>0</v>
      </c>
      <c r="D61" s="22">
        <f>C61-B61</f>
        <v/>
      </c>
    </row>
    <row r="62">
      <c r="A62" s="4" t="inlineStr">
        <is>
          <t>School / activities</t>
        </is>
      </c>
      <c r="B62" s="8" t="n">
        <v>0</v>
      </c>
      <c r="C62" s="8" t="n">
        <v>0</v>
      </c>
      <c r="D62" s="22">
        <f>C62-B62</f>
        <v/>
      </c>
    </row>
    <row r="63">
      <c r="A63" s="4" t="inlineStr">
        <is>
          <t>Diapers / supplies</t>
        </is>
      </c>
      <c r="B63" s="8" t="n">
        <v>0</v>
      </c>
      <c r="C63" s="8" t="n">
        <v>0</v>
      </c>
      <c r="D63" s="22">
        <f>C63-B63</f>
        <v/>
      </c>
    </row>
    <row r="64">
      <c r="A64" s="11" t="inlineStr">
        <is>
          <t>Section Total</t>
        </is>
      </c>
      <c r="B64" s="12">
        <f>SUM(B61:B63)</f>
        <v/>
      </c>
      <c r="C64" s="12">
        <f>SUM(C61:C63)</f>
        <v/>
      </c>
      <c r="D64" s="12">
        <f>C64-B64</f>
        <v/>
      </c>
    </row>
    <row r="65"/>
    <row r="66">
      <c r="A66" s="3" t="inlineStr">
        <is>
          <t>OTHER</t>
        </is>
      </c>
      <c r="B66" s="3" t="n"/>
      <c r="C66" s="3" t="n"/>
      <c r="D66" s="3" t="n"/>
    </row>
    <row r="67">
      <c r="A67" s="4" t="inlineStr">
        <is>
          <t>Phone</t>
        </is>
      </c>
      <c r="B67" s="8" t="n">
        <v>0</v>
      </c>
      <c r="C67" s="8" t="n">
        <v>0</v>
      </c>
      <c r="D67" s="22">
        <f>C67-B67</f>
        <v/>
      </c>
    </row>
    <row r="68">
      <c r="A68" s="4" t="inlineStr">
        <is>
          <t>Charity</t>
        </is>
      </c>
      <c r="B68" s="8" t="n">
        <v>0</v>
      </c>
      <c r="C68" s="8" t="n">
        <v>0</v>
      </c>
      <c r="D68" s="22">
        <f>C68-B68</f>
        <v/>
      </c>
    </row>
    <row r="69">
      <c r="A69" s="4" t="inlineStr">
        <is>
          <t>Misc</t>
        </is>
      </c>
      <c r="B69" s="8" t="n">
        <v>0</v>
      </c>
      <c r="C69" s="8" t="n">
        <v>0</v>
      </c>
      <c r="D69" s="22">
        <f>C69-B69</f>
        <v/>
      </c>
    </row>
    <row r="70">
      <c r="A70" s="11" t="inlineStr">
        <is>
          <t>Section Total</t>
        </is>
      </c>
      <c r="B70" s="12">
        <f>SUM(B67:B69)</f>
        <v/>
      </c>
      <c r="C70" s="12">
        <f>SUM(C67:C69)</f>
        <v/>
      </c>
      <c r="D70" s="12">
        <f>C70-B70</f>
        <v/>
      </c>
    </row>
    <row r="71"/>
    <row r="72">
      <c r="A72" s="23" t="inlineStr">
        <is>
          <t>TOTAL SPENDING</t>
        </is>
      </c>
      <c r="B72" s="24">
        <f>SUM(B9:B71)</f>
        <v/>
      </c>
      <c r="C72" s="24">
        <f>SUM(C9:C71)</f>
        <v/>
      </c>
      <c r="D72" s="24">
        <f>C72-B72</f>
        <v/>
      </c>
    </row>
    <row r="73">
      <c r="A73" s="23" t="inlineStr">
        <is>
          <t>REMAINING (Income - Spending)</t>
        </is>
      </c>
      <c r="B73" s="25">
        <f>B6-B72</f>
        <v/>
      </c>
      <c r="C73" s="25">
        <f>C6-C72</f>
        <v/>
      </c>
      <c r="D73" s="25">
        <f>C73-B73</f>
        <v/>
      </c>
    </row>
  </sheetData>
  <mergeCells count="12">
    <mergeCell ref="A18:D18"/>
    <mergeCell ref="A9:D9"/>
    <mergeCell ref="A4:D4"/>
    <mergeCell ref="A2:H2"/>
    <mergeCell ref="A38:D38"/>
    <mergeCell ref="A52:D52"/>
    <mergeCell ref="A24:D24"/>
    <mergeCell ref="A1:H1"/>
    <mergeCell ref="A60:D60"/>
    <mergeCell ref="A32:D32"/>
    <mergeCell ref="A66:D66"/>
    <mergeCell ref="A44:D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30" customWidth="1" min="7" max="7"/>
  </cols>
  <sheetData>
    <row r="1">
      <c r="A1" s="1" t="inlineStr">
        <is>
          <t>Bills &amp; Due Dates</t>
        </is>
      </c>
    </row>
    <row r="2">
      <c r="A2" s="2" t="inlineStr">
        <is>
          <t>Track recurring bills so your budget is predictable. Fill in the blue cells.</t>
        </is>
      </c>
    </row>
    <row r="4">
      <c r="A4" s="21" t="inlineStr">
        <is>
          <t>Bill</t>
        </is>
      </c>
      <c r="B4" s="21" t="inlineStr">
        <is>
          <t>Amount</t>
        </is>
      </c>
      <c r="C4" s="21" t="inlineStr">
        <is>
          <t>Due Day</t>
        </is>
      </c>
      <c r="D4" s="21" t="inlineStr">
        <is>
          <t>Autopay?</t>
        </is>
      </c>
      <c r="E4" s="21" t="inlineStr">
        <is>
          <t>Account</t>
        </is>
      </c>
      <c r="F4" s="21" t="inlineStr">
        <is>
          <t>Category</t>
        </is>
      </c>
      <c r="G4" s="21" t="inlineStr">
        <is>
          <t>Notes</t>
        </is>
      </c>
    </row>
    <row r="5">
      <c r="A5" s="4" t="inlineStr">
        <is>
          <t>Rent/Mortgage</t>
        </is>
      </c>
      <c r="B5" s="26" t="inlineStr"/>
      <c r="C5" s="27" t="inlineStr"/>
      <c r="D5" s="28" t="inlineStr">
        <is>
          <t>TRUE</t>
        </is>
      </c>
      <c r="E5" s="28" t="inlineStr"/>
      <c r="F5" s="28" t="inlineStr">
        <is>
          <t>Housing</t>
        </is>
      </c>
      <c r="G5" s="5" t="inlineStr"/>
    </row>
    <row r="6">
      <c r="A6" s="4" t="inlineStr">
        <is>
          <t>Utilities</t>
        </is>
      </c>
      <c r="B6" s="26" t="inlineStr"/>
      <c r="C6" s="27" t="inlineStr"/>
      <c r="D6" s="28" t="inlineStr">
        <is>
          <t>FALSE</t>
        </is>
      </c>
      <c r="E6" s="28" t="inlineStr"/>
      <c r="F6" s="28" t="inlineStr">
        <is>
          <t>Housing</t>
        </is>
      </c>
      <c r="G6" s="5" t="inlineStr"/>
    </row>
    <row r="7">
      <c r="A7" s="4" t="inlineStr">
        <is>
          <t>Internet</t>
        </is>
      </c>
      <c r="B7" s="26" t="inlineStr"/>
      <c r="C7" s="27" t="inlineStr"/>
      <c r="D7" s="28" t="inlineStr">
        <is>
          <t>TRUE</t>
        </is>
      </c>
      <c r="E7" s="28" t="inlineStr"/>
      <c r="F7" s="28" t="inlineStr">
        <is>
          <t>Housing</t>
        </is>
      </c>
      <c r="G7" s="5" t="inlineStr"/>
    </row>
    <row r="8">
      <c r="A8" s="4" t="inlineStr">
        <is>
          <t>Phone</t>
        </is>
      </c>
      <c r="B8" s="26" t="inlineStr"/>
      <c r="C8" s="27" t="inlineStr"/>
      <c r="D8" s="28" t="inlineStr">
        <is>
          <t>TRUE</t>
        </is>
      </c>
      <c r="E8" s="28" t="inlineStr"/>
      <c r="F8" s="28" t="inlineStr">
        <is>
          <t>Other</t>
        </is>
      </c>
      <c r="G8" s="5" t="inlineStr"/>
    </row>
    <row r="9">
      <c r="A9" s="4" t="inlineStr">
        <is>
          <t>Car payment</t>
        </is>
      </c>
      <c r="B9" s="26" t="inlineStr"/>
      <c r="C9" s="27" t="inlineStr"/>
      <c r="D9" s="28" t="inlineStr">
        <is>
          <t>TRUE</t>
        </is>
      </c>
      <c r="E9" s="28" t="inlineStr"/>
      <c r="F9" s="28" t="inlineStr">
        <is>
          <t>Transportation</t>
        </is>
      </c>
      <c r="G9" s="5" t="inlineStr"/>
    </row>
    <row r="10">
      <c r="A10" s="4" t="inlineStr">
        <is>
          <t>Car insurance</t>
        </is>
      </c>
      <c r="B10" s="26" t="inlineStr"/>
      <c r="C10" s="27" t="inlineStr"/>
      <c r="D10" s="28" t="inlineStr">
        <is>
          <t>TRUE</t>
        </is>
      </c>
      <c r="E10" s="28" t="inlineStr"/>
      <c r="F10" s="28" t="inlineStr">
        <is>
          <t>Transportation</t>
        </is>
      </c>
      <c r="G10" s="5" t="inlineStr"/>
    </row>
    <row r="11">
      <c r="A11" s="4" t="inlineStr">
        <is>
          <t>Subscriptions</t>
        </is>
      </c>
      <c r="B11" s="26" t="inlineStr"/>
      <c r="C11" s="27" t="inlineStr"/>
      <c r="D11" s="28" t="inlineStr">
        <is>
          <t>TRUE</t>
        </is>
      </c>
      <c r="E11" s="28" t="inlineStr"/>
      <c r="F11" s="28" t="inlineStr">
        <is>
          <t>Wants</t>
        </is>
      </c>
      <c r="G11" s="5" t="inlineStr"/>
    </row>
    <row r="20">
      <c r="A20" s="11" t="inlineStr">
        <is>
          <t>Total Monthly Bills</t>
        </is>
      </c>
      <c r="B20" s="12">
        <f>SUM(B5:B200)</f>
        <v/>
      </c>
    </row>
  </sheetData>
  <mergeCells count="2">
    <mergeCell ref="A2:H2"/>
    <mergeCell ref="A1:H1"/>
  </mergeCells>
  <dataValidations count="1">
    <dataValidation sqref="D5:D2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8" customWidth="1" min="5" max="5"/>
    <col width="30" customWidth="1" min="6" max="6"/>
  </cols>
  <sheetData>
    <row r="1">
      <c r="A1" s="1" t="inlineStr">
        <is>
          <t>Goals</t>
        </is>
      </c>
    </row>
    <row r="2">
      <c r="A2" s="2" t="inlineStr">
        <is>
          <t>Turn big goals into a timeline. Fill in blue inputs; timeline updates automatically.</t>
        </is>
      </c>
    </row>
    <row r="4">
      <c r="A4" s="21" t="inlineStr">
        <is>
          <t>Goal</t>
        </is>
      </c>
      <c r="B4" s="21" t="inlineStr">
        <is>
          <t>Target ($)</t>
        </is>
      </c>
      <c r="C4" s="21" t="inlineStr">
        <is>
          <t>Current ($)</t>
        </is>
      </c>
      <c r="D4" s="21" t="inlineStr">
        <is>
          <t>Monthly ($)</t>
        </is>
      </c>
      <c r="E4" s="21" t="inlineStr">
        <is>
          <t>Months to Goal</t>
        </is>
      </c>
      <c r="F4" s="21" t="inlineStr">
        <is>
          <t>Notes</t>
        </is>
      </c>
    </row>
    <row r="5">
      <c r="A5" s="13" t="inlineStr">
        <is>
          <t>Starter emergency fund</t>
        </is>
      </c>
      <c r="B5" s="8" t="n">
        <v>1000</v>
      </c>
      <c r="C5" s="8" t="n">
        <v>0</v>
      </c>
      <c r="D5" s="8" t="n">
        <v>50</v>
      </c>
      <c r="E5" s="29">
        <f>IF(D5&lt;=0,"",IF(B5&lt;=C5,0,CEILING((B5-C5)/D5,1)))</f>
        <v/>
      </c>
      <c r="F5" s="5" t="inlineStr"/>
    </row>
    <row r="6">
      <c r="A6" s="13" t="inlineStr">
        <is>
          <t>1 month expenses</t>
        </is>
      </c>
      <c r="B6" s="8" t="n">
        <v>3000</v>
      </c>
      <c r="C6" s="8" t="n">
        <v>0</v>
      </c>
      <c r="D6" s="8" t="n">
        <v>200</v>
      </c>
      <c r="E6" s="29">
        <f>IF(D6&lt;=0,"",IF(B6&lt;=C6,0,CEILING((B6-C6)/D6,1)))</f>
        <v/>
      </c>
      <c r="F6" s="5" t="inlineStr"/>
    </row>
    <row r="7">
      <c r="A7" s="13" t="inlineStr">
        <is>
          <t>Pay off high-interest debt</t>
        </is>
      </c>
      <c r="B7" s="8" t="n">
        <v>2000</v>
      </c>
      <c r="C7" s="8" t="n">
        <v>0</v>
      </c>
      <c r="D7" s="8" t="n">
        <v>150</v>
      </c>
      <c r="E7" s="29">
        <f>IF(D7&lt;=0,"",IF(B7&lt;=C7,0,CEILING((B7-C7)/D7,1)))</f>
        <v/>
      </c>
      <c r="F7" s="5" t="inlineStr"/>
    </row>
    <row r="8">
      <c r="A8" s="13" t="inlineStr">
        <is>
          <t>Down payment / house fund</t>
        </is>
      </c>
      <c r="B8" s="8" t="n">
        <v>20000</v>
      </c>
      <c r="C8" s="8" t="n">
        <v>0</v>
      </c>
      <c r="D8" s="8" t="n">
        <v>500</v>
      </c>
      <c r="E8" s="29">
        <f>IF(D8&lt;=0,"",IF(B8&lt;=C8,0,CEILING((B8-C8)/D8,1)))</f>
        <v/>
      </c>
      <c r="F8" s="5" t="inlineStr"/>
    </row>
    <row r="9">
      <c r="A9" s="13" t="inlineStr">
        <is>
          <t>Big purchase (car/PCS)</t>
        </is>
      </c>
      <c r="B9" s="8" t="n">
        <v>5000</v>
      </c>
      <c r="C9" s="8" t="n">
        <v>0</v>
      </c>
      <c r="D9" s="8" t="n">
        <v>150</v>
      </c>
      <c r="E9" s="29">
        <f>IF(D9&lt;=0,"",IF(B9&lt;=C9,0,CEILING((B9-C9)/D9,1)))</f>
        <v/>
      </c>
      <c r="F9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2" customWidth="1" min="5" max="5"/>
    <col width="28" customWidth="1" min="6" max="6"/>
    <col width="16" customWidth="1" min="7" max="7"/>
    <col width="16" customWidth="1" min="8" max="8"/>
  </cols>
  <sheetData>
    <row r="1">
      <c r="A1" s="1" t="inlineStr">
        <is>
          <t>Dashboard</t>
        </is>
      </c>
    </row>
    <row r="2">
      <c r="A2" s="2" t="inlineStr">
        <is>
          <t>Quick visuals to understand your pay and plan at a glance.</t>
        </is>
      </c>
    </row>
    <row r="4">
      <c r="A4" s="3" t="inlineStr">
        <is>
          <t>Key Numbers (Monthly)</t>
        </is>
      </c>
      <c r="B4" s="3" t="n"/>
      <c r="C4" s="3" t="n"/>
      <c r="F4" s="3" t="inlineStr">
        <is>
          <t>Income Breakdown</t>
        </is>
      </c>
      <c r="G4" s="3" t="n"/>
      <c r="H4" s="3" t="n"/>
    </row>
    <row r="5">
      <c r="A5" s="13" t="inlineStr">
        <is>
          <t>Total Income</t>
        </is>
      </c>
      <c r="B5" s="12">
        <f>'Start Here'!E9</f>
        <v/>
      </c>
      <c r="F5" s="20" t="inlineStr">
        <is>
          <t>Component</t>
        </is>
      </c>
      <c r="G5" s="21" t="inlineStr">
        <is>
          <t>Amount</t>
        </is>
      </c>
    </row>
    <row r="6">
      <c r="A6" s="13" t="inlineStr">
        <is>
          <t>Planned Spending</t>
        </is>
      </c>
      <c r="B6" s="12">
        <f>'Budget'!B72</f>
        <v/>
      </c>
      <c r="F6" s="13" t="inlineStr">
        <is>
          <t>Base Pay</t>
        </is>
      </c>
      <c r="G6" s="22">
        <f>'Start Here'!E5</f>
        <v/>
      </c>
    </row>
    <row r="7">
      <c r="A7" s="13" t="inlineStr">
        <is>
          <t>Planned Remaining</t>
        </is>
      </c>
      <c r="B7" s="12">
        <f>'Budget'!B73</f>
        <v/>
      </c>
      <c r="F7" s="13" t="inlineStr">
        <is>
          <t>BAH</t>
        </is>
      </c>
      <c r="G7" s="22">
        <f>'Start Here'!E6</f>
        <v/>
      </c>
    </row>
    <row r="8">
      <c r="A8" s="13" t="inlineStr">
        <is>
          <t>Minimum Savings Target</t>
        </is>
      </c>
      <c r="B8" s="12">
        <f>'Start Here'!H11</f>
        <v/>
      </c>
      <c r="F8" s="13" t="inlineStr">
        <is>
          <t>BAS</t>
        </is>
      </c>
      <c r="G8" s="22">
        <f>'Start Here'!E7</f>
        <v/>
      </c>
    </row>
    <row r="9">
      <c r="F9" s="13" t="inlineStr">
        <is>
          <t>Other</t>
        </is>
      </c>
      <c r="G9" s="22">
        <f>'Start Here'!E8</f>
        <v/>
      </c>
    </row>
    <row r="11">
      <c r="A11" s="3" t="inlineStr">
        <is>
          <t>Planned Budget Split</t>
        </is>
      </c>
      <c r="B11" s="3" t="n"/>
      <c r="C11" s="3" t="n"/>
    </row>
    <row r="12">
      <c r="A12" s="20" t="inlineStr">
        <is>
          <t>Bucket</t>
        </is>
      </c>
      <c r="B12" s="21" t="inlineStr">
        <is>
          <t>Planned</t>
        </is>
      </c>
    </row>
    <row r="13">
      <c r="A13" s="13" t="inlineStr">
        <is>
          <t>Housing</t>
        </is>
      </c>
      <c r="B13" s="22">
        <f>'Budget'!B16</f>
        <v/>
      </c>
    </row>
    <row r="14">
      <c r="A14" s="13" t="inlineStr">
        <is>
          <t>Food</t>
        </is>
      </c>
      <c r="B14" s="22">
        <f>'Budget'!B22</f>
        <v/>
      </c>
    </row>
    <row r="15">
      <c r="A15" s="13" t="inlineStr">
        <is>
          <t>Transportation</t>
        </is>
      </c>
      <c r="B15" s="22">
        <f>'Budget'!B30</f>
        <v/>
      </c>
    </row>
    <row r="16">
      <c r="A16" s="13" t="inlineStr">
        <is>
          <t>Health &amp; Insurance</t>
        </is>
      </c>
      <c r="B16" s="22">
        <f>'Budget'!B36</f>
        <v/>
      </c>
    </row>
    <row r="17">
      <c r="A17" s="13" t="inlineStr">
        <is>
          <t>Debt Paydown</t>
        </is>
      </c>
      <c r="B17" s="22">
        <f>'Budget'!B42</f>
        <v/>
      </c>
    </row>
    <row r="18">
      <c r="A18" s="13" t="inlineStr">
        <is>
          <t>Savings &amp; Investing</t>
        </is>
      </c>
      <c r="B18" s="22">
        <f>'Budget'!B50</f>
        <v/>
      </c>
    </row>
    <row r="19">
      <c r="A19" s="13" t="inlineStr">
        <is>
          <t>Wants &amp; Lifestyle</t>
        </is>
      </c>
      <c r="B19" s="22">
        <f>'Budget'!B58</f>
        <v/>
      </c>
    </row>
    <row r="20">
      <c r="A20" s="13" t="inlineStr">
        <is>
          <t>Kids / Family</t>
        </is>
      </c>
      <c r="B20" s="22">
        <f>'Budget'!B64</f>
        <v/>
      </c>
    </row>
    <row r="21">
      <c r="A21" s="13" t="inlineStr">
        <is>
          <t>Other</t>
        </is>
      </c>
      <c r="B21" s="22">
        <f>'Budget'!B70</f>
        <v/>
      </c>
    </row>
  </sheetData>
  <mergeCells count="5">
    <mergeCell ref="A11:C11"/>
    <mergeCell ref="A2:H2"/>
    <mergeCell ref="F4:H4"/>
    <mergeCell ref="A1:H1"/>
    <mergeCell ref="A4:C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2026-02-21T21:13:59Z</dcterms:created>
  <dcterms:modified xmlns:dcterms="http://purl.org/dc/terms/" xmlns:xsi="http://www.w3.org/2001/XMLSchema-instance" xsi:type="dcterms:W3CDTF">2026-02-21T21:16:20Z</dcterms:modified>
</cp:coreProperties>
</file>